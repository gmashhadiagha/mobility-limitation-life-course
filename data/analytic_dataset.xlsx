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18.vml" ContentType="application/vnd.openxmlformats-officedocument.vmlDrawing"/>
  <Override PartName="/xl/drawings/vmlDrawing4.vml" ContentType="application/vnd.openxmlformats-officedocument.vmlDrawing"/>
  <Override PartName="/xl/drawings/vmlDrawing17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13.vml" ContentType="application/vnd.openxmlformats-officedocument.vmlDrawing"/>
  <Override PartName="/xl/drawings/vmlDrawing5.vml" ContentType="application/vnd.openxmlformats-officedocument.vmlDrawing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19.xml" ContentType="application/vnd.openxmlformats-officedocument.spreadsheetml.comments+xml"/>
  <Override PartName="/xl/comments9.xml" ContentType="application/vnd.openxmlformats-officedocument.spreadsheetml.comment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_log" sheetId="1" state="visible" r:id="rId3"/>
    <sheet name="&lt;5_years" sheetId="2" state="visible" r:id="rId4"/>
    <sheet name="5-9_years" sheetId="3" state="visible" r:id="rId5"/>
    <sheet name="10-14_years" sheetId="4" state="visible" r:id="rId6"/>
    <sheet name="15-19_years" sheetId="5" state="visible" r:id="rId7"/>
    <sheet name="20-24_years" sheetId="6" state="visible" r:id="rId8"/>
    <sheet name="25-29_years" sheetId="7" state="visible" r:id="rId9"/>
    <sheet name="30-34_years" sheetId="8" state="visible" r:id="rId10"/>
    <sheet name="35-39_years" sheetId="9" state="visible" r:id="rId11"/>
    <sheet name="40-44_years" sheetId="10" state="visible" r:id="rId12"/>
    <sheet name="45-49_years" sheetId="11" state="visible" r:id="rId13"/>
    <sheet name="50-54_years" sheetId="12" state="visible" r:id="rId14"/>
    <sheet name="55-59_years" sheetId="13" state="visible" r:id="rId15"/>
    <sheet name="65-69_years" sheetId="14" state="visible" r:id="rId16"/>
    <sheet name="60-64_years" sheetId="15" state="visible" r:id="rId17"/>
    <sheet name="70-74_years" sheetId="16" state="visible" r:id="rId18"/>
    <sheet name="75-79_years" sheetId="17" state="visible" r:id="rId19"/>
    <sheet name="80-84_years" sheetId="18" state="visible" r:id="rId20"/>
    <sheet name="85+_years" sheetId="19" state="visible" r:id="rId21"/>
  </sheets>
  <definedNames>
    <definedName function="false" hidden="true" localSheetId="8" name="_xlnm._FilterDatabase" vbProcedure="false">'35-39_years'!$A$1:$U$23</definedName>
    <definedName function="false" hidden="true" localSheetId="15" name="_xlnm._FilterDatabase" vbProcedure="false">'70-74_years'!$A$1:$U$23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Spending upper bound in source (362.2M) is below the mean; current value (562.2M) is injuries minus falls. Re-extract.
Prevalence bounds (orange) are approximate: per injury category, var(non-fall)=var(all injuries)-var(falls) assuming independence (SE=(upper-lower)/3.92); summed across categories; mean ± 1.96 SE.</t>
        </r>
      </text>
    </comment>
    <comment ref="B16" authorId="0">
      <text>
        <r>
          <rPr>
            <sz val="10"/>
            <rFont val="Arial"/>
            <family val="2"/>
          </rPr>
          <t xml:space="preserve">Spending mean referenced Congenital birth defects row instead of Nutritional deficiencies; corrected.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Spending bounds referenced Nutritional deficiencies row; corrected to Congenital birth defects.</t>
        </r>
      </text>
    </comment>
    <comment ref="B14" authorId="0">
      <text>
        <r>
          <rPr>
            <sz val="10"/>
            <rFont val="Arial"/>
            <family val="2"/>
          </rPr>
          <t xml:space="preserve">Restored row. Prevalence/YLD from Prev_YLD_2019_2023_WITH_GROUPS_updated.xlsx; yellow cells (uncertainty bounds) not available in source - obtain from GBD.</t>
        </r>
      </text>
    </comment>
    <comment ref="B1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Non-fall spending for 5-9 not present in AGG_INJ_NONFALLS.xlsx; verify source.
Prevalence bounds (orange) are approximate: per injury category, var(non-fall)=var(all injuries)-var(falls) assuming independence (SE=(upper-lower)/3.92); summed across categories; mean ± 1.96 SE.</t>
        </r>
      </text>
    </comment>
    <comment ref="B23" authorId="0">
      <text>
        <r>
          <rPr>
            <sz val="10"/>
            <rFont val="Arial"/>
            <family val="2"/>
          </rPr>
          <t xml:space="preserve">Spending now Falls + Non-fall (formula), as in the other sheets. Previous values: [None, None, None]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16" authorId="0">
      <text>
        <r>
          <rPr>
            <sz val="10"/>
            <rFont val="Arial"/>
            <family val="2"/>
          </rPr>
          <t xml:space="preserve">Restored row. Prevalence/YLD from Prev_YLD_2019_2023_WITH_GROUPS_updated.xlsx; yellow cells (uncertainty bounds) not available in source - obtain from GBD.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Restored row. Prevalence/YLD from Prev_YLD_2019_2023_WITH_GROUPS_updated.xlsx; yellow cells (uncertainty bounds) not available in source - obtain from GBD.</t>
        </r>
      </text>
    </comment>
    <comment ref="B20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24" authorId="0">
      <text>
        <r>
          <rPr>
            <sz val="10"/>
            <rFont val="Arial"/>
            <family val="2"/>
          </rPr>
          <t xml:space="preserve">Spending values were shifted one column left; restored from Prev_YLD_2019_2023_WITH_GROUPS_updated.xlsx.</t>
        </r>
      </text>
    </comment>
    <comment ref="B30" authorId="0">
      <text>
        <r>
          <rPr>
            <sz val="10"/>
            <rFont val="Arial"/>
            <family val="2"/>
          </rPr>
          <t xml:space="preserve">Spending bounds were hard-coded to the Falls bounds only; now Falls + Non-fall injuries, matching the other age sheets.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11" authorId="0">
      <text>
        <r>
          <rPr>
            <sz val="10"/>
            <rFont val="Arial"/>
            <family val="2"/>
          </rPr>
          <t xml:space="preserve">Spending values were shifted one column right; restored.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Restored row. Values from Prev_YLD_2019_2023_WITH_GROUPS_updated.xlsx; yellow cells (uncertainty bounds) not available - obtain from GBD.</t>
        </r>
      </text>
    </comment>
    <comment ref="B9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Prevalence and YLDs were blank (row excluded from ranking). Filled from Prev_YLD_2019_2023_WITH_GROUPS_updated.xlsx (column order corrected). Bounds: obtain from GBD.</t>
        </r>
      </text>
    </comment>
    <comment ref="B17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30" authorId="0">
      <text>
        <r>
          <rPr>
            <sz val="10"/>
            <rFont val="Arial"/>
            <family val="2"/>
          </rPr>
          <t xml:space="preserve">Spending now Falls + Non-fall (formula), as in the other sheets. Previous values: [3202188220.79, 2839956617.14, 3688085268.82]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28" authorId="0">
      <text>
        <r>
          <rPr>
            <sz val="10"/>
            <rFont val="Arial"/>
            <family val="2"/>
          </rPr>
          <t xml:space="preserve">Spending now Falls + Non-fall (formula), as in the other sheets. Previous values: [None, None, None]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2019 prevalence replaced with nature-of-injury sum (injuries_by_age.xlsx); bounds approximate (sum of category bounds).
2023 prevalence replaced with nature-of-injury sum (injuries_by_age.xlsx); bounds approximate (sum of category bounds).</t>
        </r>
      </text>
    </comment>
    <comment ref="B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27" authorId="0">
      <text>
        <r>
          <rPr>
            <sz val="10"/>
            <rFont val="Arial"/>
            <family val="2"/>
          </rPr>
          <t xml:space="preserve">Spending now Falls + Non-fall (formula), as in the other sheets. Previous values: [None, None, None]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2019 prevalence replaced with nature-of-injury sum (injuries_by_age.xlsx); bounds approximate (sum of category bounds).
2023 prevalence replaced with nature-of-injury sum (injuries_by_age.xlsx); bounds approximate (sum of category bounds).</t>
        </r>
      </text>
    </comment>
    <comment ref="B15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28" authorId="0">
      <text>
        <r>
          <rPr>
            <sz val="10"/>
            <rFont val="Arial"/>
            <family val="2"/>
          </rPr>
          <t xml:space="preserve">Spending now Falls + Non-fall (formula), as in the other sheets. Previous values: [4594248990.02, 3951682500.96, 5243933673.08]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2019 prevalence replaced with nature-of-injury sum (injuries_by_age.xlsx); bounds approximate (sum of category bounds).
2023 prevalence replaced with nature-of-injury sum (injuries_by_age.xlsx); bounds approximate (sum of category bounds).</t>
        </r>
      </text>
    </comment>
    <comment ref="B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15" authorId="0">
      <text>
        <r>
          <rPr>
            <sz val="10"/>
            <rFont val="Arial"/>
            <family val="2"/>
          </rPr>
          <t xml:space="preserve">Restored row. Bounds and 2023 values recovered from the shifted Osteoarthritis hip row.</t>
        </r>
      </text>
    </comment>
    <comment ref="B16" authorId="0">
      <text>
        <r>
          <rPr>
            <sz val="10"/>
            <rFont val="Arial"/>
            <family val="2"/>
          </rPr>
          <t xml:space="preserve">Repaired: bounds and 2023 values recovered from the shifted Osteoarthritis knee row.</t>
        </r>
      </text>
    </comment>
    <comment ref="B17" authorId="0">
      <text>
        <r>
          <rPr>
            <sz val="10"/>
            <rFont val="Arial"/>
            <family val="2"/>
          </rPr>
          <t xml:space="preserve">Repaired row: bounds were overwritten by a row shift and are not recoverable from the available files - obtain from GBD. 2023 prevalence and YLDs from Prev_YLD_2019_2023_WITH_GROUPS_updated.xlsx.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2019 prevalence replaced with nature-of-injury sum (injuries_by_age.xlsx); bounds approximate (sum of category bounds).
2023 prevalence replaced with nature-of-injury sum (injuries_by_age.xlsx); bounds approximate (sum of category bounds).</t>
        </r>
      </text>
    </comment>
    <comment ref="B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Spending corrected to AGG_INJ_NONFALLS.xlsx (was 964.3M).
Prevalence bounds (orange) are approximate: per injury category, var(non-fall)=var(all injuries)-var(falls) assuming independence (SE=(upper-lower)/3.92); summed across categories; mean ± 1.96 SE.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2019 prevalence replaced with nature-of-injury sum (injuries_by_age.xlsx); bounds approximate (sum of category bounds).
2023 prevalence replaced with nature-of-injury sum (injuries_by_age.xlsx); bounds approximate (sum of category bounds).</t>
        </r>
      </text>
    </comment>
    <comment ref="B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15" authorId="0">
      <text>
        <r>
          <rPr>
            <sz val="10"/>
            <rFont val="Arial"/>
            <family val="2"/>
          </rPr>
          <t xml:space="preserve">Spending upper bound formula was missing; restored (=S15*Q28), matching the other osteoarthritis subtypes.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2019 prevalence replaced with nature-of-injury sum (injuries_by_age.xlsx); bounds approximate (sum of category bounds).
2023 prevalence replaced with nature-of-injury sum (injuries_by_age.xlsx); bounds approximate (sum of category bounds).</t>
        </r>
      </text>
    </comment>
    <comment ref="B8" authorId="0">
      <text>
        <r>
          <rPr>
            <sz val="10"/>
            <rFont val="Arial"/>
            <family val="2"/>
          </rPr>
          <t xml:space="preserve">Prevalence = all injuries minus falls within each nature-of-injury category, summed (injuries_by_age.xlsx). Prevalence bounds removed (subtraction of bounds is invalid). YLD bounds are also derived by subtraction: treat as approximate.
Prevalence bounds (orange) are approximate: per injury category, var(non-fall)=var(all injuries)-var(falls) assuming independence (SE=(upper-lower)/3.92); summed across categories; mean ± 1.96 SE.</t>
        </r>
      </text>
    </comment>
    <comment ref="B13" authorId="0">
      <text>
        <r>
          <rPr>
            <sz val="10"/>
            <rFont val="Arial"/>
            <family val="2"/>
          </rPr>
          <t xml:space="preserve">Restored row (physician-added). Values from Prev_YLD_2019_2023_WITH_GROUPS_updated.xlsx; yellow cells not available - obtain from GBD.</t>
        </r>
      </text>
    </comment>
    <comment ref="B21" authorId="0">
      <text>
        <r>
          <rPr>
            <sz val="10"/>
            <rFont val="Arial"/>
            <family val="2"/>
          </rPr>
          <t xml:space="preserve">Spending referenced Osteoarthritis parent instead of Nutritional deficiencies; corrected.</t>
        </r>
      </text>
    </comment>
  </commentList>
</comments>
</file>

<file path=xl/sharedStrings.xml><?xml version="1.0" encoding="utf-8"?>
<sst xmlns="http://schemas.openxmlformats.org/spreadsheetml/2006/main" count="2016" uniqueCount="147">
  <si>
    <t xml:space="preserve">Sheet</t>
  </si>
  <si>
    <t xml:space="preserve">Row / condition</t>
  </si>
  <si>
    <t xml:space="preserve">Change</t>
  </si>
  <si>
    <t xml:space="preserve">Source</t>
  </si>
  <si>
    <t xml:space="preserve">5-9, 10-14, 15-19</t>
  </si>
  <si>
    <t xml:space="preserve">Protein-energy malnutrition</t>
  </si>
  <si>
    <t xml:space="preserve">Row restored; spending allocated from Nutritional deficiencies</t>
  </si>
  <si>
    <t xml:space="preserve">Prev_YLD_2019_2023_WITH_GROUPS_updated.xlsx</t>
  </si>
  <si>
    <t xml:space="preserve">40-44</t>
  </si>
  <si>
    <t xml:space="preserve">Gout</t>
  </si>
  <si>
    <t xml:space="preserve">Row restored</t>
  </si>
  <si>
    <t xml:space="preserve">85+</t>
  </si>
  <si>
    <t xml:space="preserve">Multiple sclerosis</t>
  </si>
  <si>
    <t xml:space="preserve">Row restored (physician-added)</t>
  </si>
  <si>
    <t xml:space="preserve">70-74</t>
  </si>
  <si>
    <t xml:space="preserve">Osteoarthritis hand / hip / knee</t>
  </si>
  <si>
    <t xml:space="preserve">Hand row restored; hip and knee data had shifted up one row and were moved back; knee bounds unrecoverable</t>
  </si>
  <si>
    <t xml:space="preserve">Same file + shifted cells</t>
  </si>
  <si>
    <t xml:space="preserve">45-49</t>
  </si>
  <si>
    <t xml:space="preserve">Alzheimer's disease and other dementias</t>
  </si>
  <si>
    <t xml:space="preserve">Prevalence and YLDs were blank (row silently excluded from ranking); filled</t>
  </si>
  <si>
    <t xml:space="preserve">All ages</t>
  </si>
  <si>
    <t xml:space="preserve">Non-fall injuries</t>
  </si>
  <si>
    <t xml:space="preserve">Prevalence 2019/2023 replaced with nature-of-injury sums; invalid prevalence bounds removed; label standardised</t>
  </si>
  <si>
    <t xml:space="preserve">injuries_by_age.xlsx</t>
  </si>
  <si>
    <t xml:space="preserve">60+ </t>
  </si>
  <si>
    <t xml:space="preserve">Falls</t>
  </si>
  <si>
    <t xml:space="preserve">Prevalence 2019/2023 replaced with nature-of-injury sums (approximate bounds); &lt;60 unchanged (identical)</t>
  </si>
  <si>
    <t xml:space="preserve">75-79</t>
  </si>
  <si>
    <t xml:space="preserve">Spending 964.3M -&gt; 484.2M</t>
  </si>
  <si>
    <t xml:space="preserve">AGG_INJ_NONFALLS.xlsx</t>
  </si>
  <si>
    <t xml:space="preserve">&lt;5</t>
  </si>
  <si>
    <t xml:space="preserve">Spending mean referenced Congenital birth defects parent (563.8M) -&gt; Nutritional deficiencies (11.1M)</t>
  </si>
  <si>
    <t xml:space="preserve">Formula fix</t>
  </si>
  <si>
    <t xml:space="preserve">All rows</t>
  </si>
  <si>
    <t xml:space="preserve">spend/prev used lower bound; now mean/prevalence</t>
  </si>
  <si>
    <t xml:space="preserve">5-9</t>
  </si>
  <si>
    <t xml:space="preserve">Down syndrome</t>
  </si>
  <si>
    <t xml:space="preserve">Spending bounds referenced Nutritional deficiencies parent -&gt; Congenital birth defects</t>
  </si>
  <si>
    <t xml:space="preserve">Spending referenced Osteoarthritis parent (1,369.3M) -&gt; Nutritional deficiencies (336.6M)</t>
  </si>
  <si>
    <t xml:space="preserve">30-34</t>
  </si>
  <si>
    <t xml:space="preserve">Stroke</t>
  </si>
  <si>
    <t xml:space="preserve">Spending values shifted one column; restored (505.9M, 433.9-581.2M)</t>
  </si>
  <si>
    <t xml:space="preserve">35-39</t>
  </si>
  <si>
    <t xml:space="preserve">Motor neuron disease</t>
  </si>
  <si>
    <t xml:space="preserve">Spending values shifted one column; restored (107.3M, 87.2-128.0M)</t>
  </si>
  <si>
    <t xml:space="preserve">Congenital MSK, PEM</t>
  </si>
  <si>
    <t xml:space="preserve">spend/prev formula referenced empty column; fixed</t>
  </si>
  <si>
    <t xml:space="preserve">30+ (all with osteoarthritis)</t>
  </si>
  <si>
    <t xml:space="preserve">Osteoarthritis subtypes</t>
  </si>
  <si>
    <t xml:space="preserve">Spending share = prevalence / MAX(parent prevalence, sum of subtypes), so shares cannot exceed 100% of parent spending</t>
  </si>
  <si>
    <t xml:space="preserve">Method fix</t>
  </si>
  <si>
    <t xml:space="preserve">65-69</t>
  </si>
  <si>
    <t xml:space="preserve">Row 25</t>
  </si>
  <si>
    <t xml:space="preserve">Stray formula in blank row removed (it produced a divide-by-zero error)</t>
  </si>
  <si>
    <t xml:space="preserve">Cleanup</t>
  </si>
  <si>
    <t xml:space="preserve">Open items</t>
  </si>
  <si>
    <t xml:space="preserve">Yellow cells</t>
  </si>
  <si>
    <t xml:space="preserve">Uncertainty bounds missing (restored rows, 70-74 knee, non-fall prevalence); &lt;5 non-fall spending upper bound; 5-9 non-fall spending source</t>
  </si>
  <si>
    <t xml:space="preserve">Obtain from GBD / DEX</t>
  </si>
  <si>
    <t xml:space="preserve">Approximate prevalence 95% UIs added (orange cells): variance of all injuries minus variance of falls per category, summed across categories</t>
  </si>
  <si>
    <t xml:space="preserve">Injuries (summary row)</t>
  </si>
  <si>
    <t xml:space="preserve">Spending bounds were Falls-only (667.6-860.0M) while the mean was Falls + Non-fall (2,721.5M); bounds now Falls + Non-fall. Summary row; not a Monte Carlo input</t>
  </si>
  <si>
    <t xml:space="preserve">80-84</t>
  </si>
  <si>
    <t xml:space="preserve">Osteoarthritis hand</t>
  </si>
  <si>
    <t xml:space="preserve">Missing spending upper-bound formula restored (=S15*Q28)</t>
  </si>
  <si>
    <t xml:space="preserve">Spending set to Falls + Non-fall formula (previously hard-coded, not equal to the sum). Summary row; not a Monte Carlo input</t>
  </si>
  <si>
    <t xml:space="preserve">60-64</t>
  </si>
  <si>
    <t xml:space="preserve">Spending set to Falls + Non-fall formula (previously blank). Summary row; not a Monte Carlo input</t>
  </si>
  <si>
    <t xml:space="preserve">55-59</t>
  </si>
  <si>
    <t xml:space="preserve">Osteoarthritis (summary row)</t>
  </si>
  <si>
    <t xml:space="preserve">age_name cleared so that all summary rows have a blank age_name, consistent with the other sheets</t>
  </si>
  <si>
    <t xml:space="preserve">age_name</t>
  </si>
  <si>
    <t xml:space="preserve">cause_name</t>
  </si>
  <si>
    <t xml:space="preserve">prevalence_2019</t>
  </si>
  <si>
    <t xml:space="preserve">prevalence_2019_lower</t>
  </si>
  <si>
    <t xml:space="preserve">prevalence_2019_upper</t>
  </si>
  <si>
    <t xml:space="preserve">prevalence_2023</t>
  </si>
  <si>
    <t xml:space="preserve">prevalence_2023_lower</t>
  </si>
  <si>
    <t xml:space="preserve">prevalence_2023_upper</t>
  </si>
  <si>
    <t xml:space="preserve">yld_2019</t>
  </si>
  <si>
    <t xml:space="preserve">yld_2019_lower</t>
  </si>
  <si>
    <t xml:space="preserve">yld_2019_upper</t>
  </si>
  <si>
    <t xml:space="preserve">yld_2023</t>
  </si>
  <si>
    <t xml:space="preserve">yld_2023_lower</t>
  </si>
  <si>
    <t xml:space="preserve">yld_2023_upper</t>
  </si>
  <si>
    <t xml:space="preserve">spend_mean</t>
  </si>
  <si>
    <t xml:space="preserve">spend_lower</t>
  </si>
  <si>
    <t xml:space="preserve">spend_upper</t>
  </si>
  <si>
    <t xml:space="preserve">spend/prev2019</t>
  </si>
  <si>
    <t xml:space="preserve">subgroup_index</t>
  </si>
  <si>
    <t xml:space="preserve">location_name</t>
  </si>
  <si>
    <t xml:space="preserve">sex_name</t>
  </si>
  <si>
    <t xml:space="preserve">&lt;5 years</t>
  </si>
  <si>
    <t xml:space="preserve">Brain and central nervous system cancer</t>
  </si>
  <si>
    <t xml:space="preserve">United States of America</t>
  </si>
  <si>
    <t xml:space="preserve">Both</t>
  </si>
  <si>
    <t xml:space="preserve">Congenital musculoskeletal and limb anomalies</t>
  </si>
  <si>
    <t xml:space="preserve">Malignant neoplasm of bone and articular cartilage</t>
  </si>
  <si>
    <t xml:space="preserve">Meningitis</t>
  </si>
  <si>
    <t xml:space="preserve">Neonatal encephalopathy due to birth asphyxia and trauma</t>
  </si>
  <si>
    <t xml:space="preserve">Neonatal preterm birth</t>
  </si>
  <si>
    <t xml:space="preserve">Neural tube defects</t>
  </si>
  <si>
    <t xml:space="preserve">Neuroblastoma and other peripheral nervous cell tumors</t>
  </si>
  <si>
    <t xml:space="preserve">Other chromosomal abnormalities</t>
  </si>
  <si>
    <t xml:space="preserve">Other congenital birth defects</t>
  </si>
  <si>
    <t xml:space="preserve">Soft tissue and other extraosseous sarcomas</t>
  </si>
  <si>
    <t xml:space="preserve">Congenital birth Defects</t>
  </si>
  <si>
    <t xml:space="preserve">Nutritional deficiencies</t>
  </si>
  <si>
    <t xml:space="preserve">Injuries</t>
  </si>
  <si>
    <t xml:space="preserve">Other musculoskeletal disorders</t>
  </si>
  <si>
    <t xml:space="preserve">flls/injuries</t>
  </si>
  <si>
    <t xml:space="preserve">5-9 years</t>
  </si>
  <si>
    <t xml:space="preserve">Neck pain</t>
  </si>
  <si>
    <t xml:space="preserve">Rheumatoid arthritis</t>
  </si>
  <si>
    <t xml:space="preserve">Congenital Birth Defects</t>
  </si>
  <si>
    <t xml:space="preserve">other Musculoskeletal disorders</t>
  </si>
  <si>
    <t xml:space="preserve">fall/injuries</t>
  </si>
  <si>
    <t xml:space="preserve">10-14 years</t>
  </si>
  <si>
    <t xml:space="preserve">Diabetes mellitus type 1</t>
  </si>
  <si>
    <t xml:space="preserve">Low back pain</t>
  </si>
  <si>
    <t xml:space="preserve">15-19 years</t>
  </si>
  <si>
    <t xml:space="preserve">Diabetes mellitus type 2</t>
  </si>
  <si>
    <t xml:space="preserve">falls/inj</t>
  </si>
  <si>
    <t xml:space="preserve">20-24 years</t>
  </si>
  <si>
    <t xml:space="preserve">fall/inj</t>
  </si>
  <si>
    <t xml:space="preserve">25-29 years</t>
  </si>
  <si>
    <t xml:space="preserve">30-34 years</t>
  </si>
  <si>
    <t xml:space="preserve">Osteoarthritis hip</t>
  </si>
  <si>
    <t xml:space="preserve">Osteoarthritis knee</t>
  </si>
  <si>
    <t xml:space="preserve">Osteoarthritis other</t>
  </si>
  <si>
    <t xml:space="preserve">Osteoarthritis</t>
  </si>
  <si>
    <t xml:space="preserve">35-39 years</t>
  </si>
  <si>
    <t xml:space="preserve">40-44 years</t>
  </si>
  <si>
    <t xml:space="preserve">Lower extremity peripheral arterial disease</t>
  </si>
  <si>
    <t xml:space="preserve">Parkinson's disease</t>
  </si>
  <si>
    <t xml:space="preserve">45-49 years</t>
  </si>
  <si>
    <t xml:space="preserve">50-54 years</t>
  </si>
  <si>
    <t xml:space="preserve">55-59 years</t>
  </si>
  <si>
    <t xml:space="preserve">65-69 years</t>
  </si>
  <si>
    <t xml:space="preserve">60-64 years</t>
  </si>
  <si>
    <t xml:space="preserve">70-74 years</t>
  </si>
  <si>
    <t xml:space="preserve">motor neuron disease</t>
  </si>
  <si>
    <t xml:space="preserve">75-79 years</t>
  </si>
  <si>
    <t xml:space="preserve">80-84 years</t>
  </si>
  <si>
    <t xml:space="preserve">85+ years</t>
  </si>
  <si>
    <t xml:space="preserve">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</si>
</sst>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.00"/>
    <numFmt numFmtId="167" formatCode="\$#,##0.00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EECE1"/>
      </patternFill>
    </fill>
    <fill>
      <patternFill patternType="solid">
        <fgColor theme="2"/>
        <bgColor rgb="FFFCE4D6"/>
      </patternFill>
    </fill>
    <fill>
      <patternFill patternType="solid">
        <fgColor rgb="FFFCE4D6"/>
        <bgColor rgb="FFEEECE1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EEC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70"/>
    <col collapsed="false" customWidth="true" hidden="false" outlineLevel="0" max="4" min="4" style="1" width="3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3.2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23.2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7</v>
      </c>
    </row>
    <row r="4" customFormat="false" ht="23.25" hidden="false" customHeight="true" outlineLevel="0" collapsed="false">
      <c r="A4" s="3" t="s">
        <v>11</v>
      </c>
      <c r="B4" s="3" t="s">
        <v>12</v>
      </c>
      <c r="C4" s="3" t="s">
        <v>13</v>
      </c>
      <c r="D4" s="3" t="s">
        <v>7</v>
      </c>
    </row>
    <row r="5" customFormat="false" ht="23.25" hidden="false" customHeight="true" outlineLevel="0" collapsed="false">
      <c r="A5" s="3" t="s">
        <v>14</v>
      </c>
      <c r="B5" s="3" t="s">
        <v>15</v>
      </c>
      <c r="C5" s="3" t="s">
        <v>16</v>
      </c>
      <c r="D5" s="3" t="s">
        <v>17</v>
      </c>
    </row>
    <row r="6" customFormat="false" ht="23.25" hidden="false" customHeight="true" outlineLevel="0" collapsed="false">
      <c r="A6" s="3" t="s">
        <v>18</v>
      </c>
      <c r="B6" s="3" t="s">
        <v>19</v>
      </c>
      <c r="C6" s="3" t="s">
        <v>20</v>
      </c>
      <c r="D6" s="3" t="s">
        <v>7</v>
      </c>
    </row>
    <row r="7" customFormat="false" ht="23.25" hidden="false" customHeight="true" outlineLevel="0" collapsed="false">
      <c r="A7" s="3" t="s">
        <v>21</v>
      </c>
      <c r="B7" s="3" t="s">
        <v>22</v>
      </c>
      <c r="C7" s="3" t="s">
        <v>23</v>
      </c>
      <c r="D7" s="3" t="s">
        <v>24</v>
      </c>
    </row>
    <row r="8" customFormat="false" ht="23.25" hidden="false" customHeight="true" outlineLevel="0" collapsed="false">
      <c r="A8" s="3" t="s">
        <v>25</v>
      </c>
      <c r="B8" s="3" t="s">
        <v>26</v>
      </c>
      <c r="C8" s="3" t="s">
        <v>27</v>
      </c>
      <c r="D8" s="3" t="s">
        <v>24</v>
      </c>
    </row>
    <row r="9" customFormat="false" ht="15" hidden="false" customHeight="true" outlineLevel="0" collapsed="false">
      <c r="A9" s="3" t="s">
        <v>28</v>
      </c>
      <c r="B9" s="3" t="s">
        <v>22</v>
      </c>
      <c r="C9" s="3" t="s">
        <v>29</v>
      </c>
      <c r="D9" s="3" t="s">
        <v>30</v>
      </c>
    </row>
    <row r="10" customFormat="false" ht="23.25" hidden="false" customHeight="true" outlineLevel="0" collapsed="false">
      <c r="A10" s="3" t="s">
        <v>31</v>
      </c>
      <c r="B10" s="3" t="s">
        <v>5</v>
      </c>
      <c r="C10" s="3" t="s">
        <v>32</v>
      </c>
      <c r="D10" s="3" t="s">
        <v>33</v>
      </c>
    </row>
    <row r="11" customFormat="false" ht="15" hidden="false" customHeight="true" outlineLevel="0" collapsed="false">
      <c r="A11" s="3" t="s">
        <v>31</v>
      </c>
      <c r="B11" s="3" t="s">
        <v>34</v>
      </c>
      <c r="C11" s="3" t="s">
        <v>35</v>
      </c>
      <c r="D11" s="3" t="s">
        <v>33</v>
      </c>
    </row>
    <row r="12" customFormat="false" ht="15" hidden="false" customHeight="true" outlineLevel="0" collapsed="false">
      <c r="A12" s="3" t="s">
        <v>36</v>
      </c>
      <c r="B12" s="3" t="s">
        <v>37</v>
      </c>
      <c r="C12" s="3" t="s">
        <v>38</v>
      </c>
      <c r="D12" s="3" t="s">
        <v>33</v>
      </c>
    </row>
    <row r="13" customFormat="false" ht="23.25" hidden="false" customHeight="true" outlineLevel="0" collapsed="false">
      <c r="A13" s="3" t="s">
        <v>11</v>
      </c>
      <c r="B13" s="3" t="s">
        <v>5</v>
      </c>
      <c r="C13" s="3" t="s">
        <v>39</v>
      </c>
      <c r="D13" s="3" t="s">
        <v>33</v>
      </c>
    </row>
    <row r="14" customFormat="false" ht="23.25" hidden="false" customHeight="true" outlineLevel="0" collapsed="false">
      <c r="A14" s="3" t="s">
        <v>40</v>
      </c>
      <c r="B14" s="3" t="s">
        <v>41</v>
      </c>
      <c r="C14" s="3" t="s">
        <v>42</v>
      </c>
      <c r="D14" s="3" t="s">
        <v>7</v>
      </c>
    </row>
    <row r="15" customFormat="false" ht="23.25" hidden="false" customHeight="true" outlineLevel="0" collapsed="false">
      <c r="A15" s="3" t="s">
        <v>43</v>
      </c>
      <c r="B15" s="3" t="s">
        <v>44</v>
      </c>
      <c r="C15" s="3" t="s">
        <v>45</v>
      </c>
      <c r="D15" s="3" t="s">
        <v>7</v>
      </c>
    </row>
    <row r="16" customFormat="false" ht="15" hidden="false" customHeight="true" outlineLevel="0" collapsed="false">
      <c r="A16" s="3" t="s">
        <v>40</v>
      </c>
      <c r="B16" s="3" t="s">
        <v>46</v>
      </c>
      <c r="C16" s="3" t="s">
        <v>47</v>
      </c>
      <c r="D16" s="3" t="s">
        <v>33</v>
      </c>
    </row>
    <row r="17" customFormat="false" ht="23.25" hidden="false" customHeight="true" outlineLevel="0" collapsed="false">
      <c r="A17" s="3" t="s">
        <v>48</v>
      </c>
      <c r="B17" s="3" t="s">
        <v>49</v>
      </c>
      <c r="C17" s="3" t="s">
        <v>50</v>
      </c>
      <c r="D17" s="3" t="s">
        <v>51</v>
      </c>
    </row>
    <row r="18" customFormat="false" ht="15" hidden="false" customHeight="true" outlineLevel="0" collapsed="false">
      <c r="A18" s="3" t="s">
        <v>52</v>
      </c>
      <c r="B18" s="3" t="s">
        <v>53</v>
      </c>
      <c r="C18" s="3" t="s">
        <v>54</v>
      </c>
      <c r="D18" s="3" t="s">
        <v>55</v>
      </c>
    </row>
    <row r="19" customFormat="false" ht="23.25" hidden="false" customHeight="true" outlineLevel="0" collapsed="false">
      <c r="A19" s="3" t="s">
        <v>56</v>
      </c>
      <c r="B19" s="3" t="s">
        <v>57</v>
      </c>
      <c r="C19" s="3" t="s">
        <v>58</v>
      </c>
      <c r="D19" s="3" t="s">
        <v>59</v>
      </c>
    </row>
    <row r="20" customFormat="false" ht="15" hidden="false" customHeight="true" outlineLevel="0" collapsed="false">
      <c r="A20" s="1" t="s">
        <v>21</v>
      </c>
      <c r="B20" s="1" t="s">
        <v>22</v>
      </c>
      <c r="C20" s="1" t="s">
        <v>60</v>
      </c>
      <c r="D20" s="1" t="s">
        <v>24</v>
      </c>
    </row>
    <row r="21" customFormat="false" ht="15" hidden="false" customHeight="true" outlineLevel="0" collapsed="false">
      <c r="A21" s="1" t="s">
        <v>40</v>
      </c>
      <c r="B21" s="1" t="s">
        <v>61</v>
      </c>
      <c r="C21" s="1" t="s">
        <v>62</v>
      </c>
      <c r="D21" s="1" t="s">
        <v>33</v>
      </c>
    </row>
    <row r="22" customFormat="false" ht="15" hidden="false" customHeight="true" outlineLevel="0" collapsed="false">
      <c r="A22" s="1" t="s">
        <v>63</v>
      </c>
      <c r="B22" s="1" t="s">
        <v>64</v>
      </c>
      <c r="C22" s="1" t="s">
        <v>65</v>
      </c>
      <c r="D22" s="1" t="s">
        <v>33</v>
      </c>
    </row>
    <row r="23" customFormat="false" ht="15" hidden="false" customHeight="true" outlineLevel="0" collapsed="false">
      <c r="A23" s="1" t="s">
        <v>18</v>
      </c>
      <c r="B23" s="1" t="s">
        <v>61</v>
      </c>
      <c r="C23" s="1" t="s">
        <v>66</v>
      </c>
      <c r="D23" s="1" t="s">
        <v>33</v>
      </c>
    </row>
    <row r="24" customFormat="false" ht="15" hidden="false" customHeight="true" outlineLevel="0" collapsed="false">
      <c r="A24" s="1" t="s">
        <v>67</v>
      </c>
      <c r="B24" s="1" t="s">
        <v>61</v>
      </c>
      <c r="C24" s="1" t="s">
        <v>66</v>
      </c>
      <c r="D24" s="1" t="s">
        <v>33</v>
      </c>
    </row>
    <row r="25" customFormat="false" ht="15" hidden="false" customHeight="true" outlineLevel="0" collapsed="false">
      <c r="A25" s="1" t="s">
        <v>36</v>
      </c>
      <c r="B25" s="1" t="s">
        <v>61</v>
      </c>
      <c r="C25" s="1" t="s">
        <v>68</v>
      </c>
      <c r="D25" s="1" t="s">
        <v>33</v>
      </c>
    </row>
    <row r="26" customFormat="false" ht="15" hidden="false" customHeight="true" outlineLevel="0" collapsed="false">
      <c r="A26" s="1" t="s">
        <v>69</v>
      </c>
      <c r="B26" s="1" t="s">
        <v>61</v>
      </c>
      <c r="C26" s="1" t="s">
        <v>68</v>
      </c>
      <c r="D26" s="1" t="s">
        <v>33</v>
      </c>
    </row>
    <row r="27" customFormat="false" ht="15" hidden="false" customHeight="true" outlineLevel="0" collapsed="false">
      <c r="A27" s="1" t="s">
        <v>52</v>
      </c>
      <c r="B27" s="1" t="s">
        <v>61</v>
      </c>
      <c r="C27" s="1" t="s">
        <v>68</v>
      </c>
      <c r="D27" s="1" t="s">
        <v>33</v>
      </c>
    </row>
    <row r="28" customFormat="false" ht="15" hidden="false" customHeight="false" outlineLevel="0" collapsed="false">
      <c r="A28" s="1" t="s">
        <v>52</v>
      </c>
      <c r="B28" s="1" t="s">
        <v>70</v>
      </c>
      <c r="C28" s="1" t="s">
        <v>71</v>
      </c>
      <c r="D28" s="1" t="s">
        <v>55</v>
      </c>
    </row>
    <row r="29" customFormat="false" ht="15" hidden="false" customHeight="false" outlineLevel="0" collapsed="false">
      <c r="A29" s="1" t="s">
        <v>28</v>
      </c>
      <c r="B29" s="1" t="s">
        <v>61</v>
      </c>
      <c r="C29" s="1" t="s">
        <v>71</v>
      </c>
      <c r="D29" s="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7" activeCellId="0" sqref="P2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21.22"/>
    <col collapsed="false" customWidth="true" hidden="false" outlineLevel="0" max="3" min="3" style="1" width="17.76"/>
    <col collapsed="false" customWidth="true" hidden="false" outlineLevel="0" max="4" min="4" style="1" width="12.56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14.33"/>
    <col collapsed="false" customWidth="true" hidden="false" outlineLevel="0" max="8" min="8" style="1" width="20.56"/>
    <col collapsed="false" customWidth="true" hidden="false" outlineLevel="0" max="9" min="9" style="1" width="13.56"/>
    <col collapsed="false" customWidth="true" hidden="false" outlineLevel="0" max="10" min="10" style="1" width="11.33"/>
    <col collapsed="false" customWidth="true" hidden="false" outlineLevel="0" max="11" min="11" style="1" width="14.21"/>
    <col collapsed="false" customWidth="true" hidden="false" outlineLevel="0" max="12" min="12" style="1" width="12.22"/>
    <col collapsed="false" customWidth="true" hidden="false" outlineLevel="0" max="13" min="13" style="1" width="10.56"/>
    <col collapsed="false" customWidth="true" hidden="false" outlineLevel="0" max="14" min="14" style="1" width="13.44"/>
    <col collapsed="false" customWidth="true" hidden="false" outlineLevel="0" max="15" min="15" style="1" width="17.22"/>
    <col collapsed="false" customWidth="true" hidden="false" outlineLevel="0" max="16" min="16" style="1" width="17.76"/>
    <col collapsed="false" customWidth="true" hidden="false" outlineLevel="0" max="17" min="17" style="1" width="17.67"/>
    <col collapsed="false" customWidth="true" hidden="false" outlineLevel="0" max="18" min="18" style="1" width="13.56"/>
    <col collapsed="false" customWidth="true" hidden="false" outlineLevel="0" max="19" min="19" style="1" width="21.22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93</v>
      </c>
      <c r="B2" s="5" t="s">
        <v>94</v>
      </c>
      <c r="C2" s="6" t="n">
        <v>4221.98327408587</v>
      </c>
      <c r="D2" s="6" t="n">
        <v>2729.74000157902</v>
      </c>
      <c r="E2" s="6" t="n">
        <v>6349.85209272057</v>
      </c>
      <c r="F2" s="6" t="n">
        <v>3762.60024466971</v>
      </c>
      <c r="G2" s="6" t="n">
        <v>2400.74520203648</v>
      </c>
      <c r="H2" s="6" t="n">
        <v>5848.80100366239</v>
      </c>
      <c r="I2" s="6" t="n">
        <v>293.667248105397</v>
      </c>
      <c r="J2" s="6" t="n">
        <v>175.34031231467</v>
      </c>
      <c r="K2" s="6" t="n">
        <v>482.816402043394</v>
      </c>
      <c r="L2" s="6" t="n">
        <v>261.566051941609</v>
      </c>
      <c r="M2" s="6" t="n">
        <v>144.071298851758</v>
      </c>
      <c r="N2" s="6" t="n">
        <v>457.204125731195</v>
      </c>
      <c r="O2" s="6" t="n">
        <v>247874311.01</v>
      </c>
      <c r="P2" s="6" t="n">
        <v>209391847.53</v>
      </c>
      <c r="Q2" s="6" t="n">
        <v>290823440.87</v>
      </c>
      <c r="R2" s="6" t="n">
        <f aca="false">O2/C2</f>
        <v>58710.3962565245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93</v>
      </c>
      <c r="B3" s="5" t="s">
        <v>97</v>
      </c>
      <c r="C3" s="5" t="n">
        <v>111610.794726125</v>
      </c>
      <c r="D3" s="5" t="n">
        <v>90845.2797313111</v>
      </c>
      <c r="E3" s="5" t="n">
        <v>139628.226640531</v>
      </c>
      <c r="F3" s="5" t="n">
        <v>106673.256135119</v>
      </c>
      <c r="G3" s="5" t="n">
        <v>84655.5974106257</v>
      </c>
      <c r="H3" s="5" t="n">
        <v>135844.004145133</v>
      </c>
      <c r="I3" s="5" t="n">
        <v>16045.5449729648</v>
      </c>
      <c r="J3" s="5" t="n">
        <v>10432.7572579056</v>
      </c>
      <c r="K3" s="5" t="n">
        <v>25004.8104991842</v>
      </c>
      <c r="L3" s="6" t="n">
        <v>15306.5531466112</v>
      </c>
      <c r="M3" s="6" t="n">
        <v>9732.3566418681</v>
      </c>
      <c r="N3" s="6" t="n">
        <v>24066.0384892666</v>
      </c>
      <c r="O3" s="6" t="n">
        <f aca="false">O22*S3</f>
        <v>3374957108.79662</v>
      </c>
      <c r="P3" s="6" t="n">
        <f aca="false">P22*S3</f>
        <v>2771354381.85604</v>
      </c>
      <c r="Q3" s="6" t="n">
        <f aca="false">Q22*S3</f>
        <v>4080940360.28987</v>
      </c>
      <c r="R3" s="6" t="n">
        <f aca="false">O3/C3</f>
        <v>30238.6262644059</v>
      </c>
      <c r="S3" s="6" t="n">
        <f aca="false">C3/C22</f>
        <v>0.279079328143306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93</v>
      </c>
      <c r="B4" s="5" t="s">
        <v>37</v>
      </c>
      <c r="C4" s="6" t="n">
        <v>10597.901067378</v>
      </c>
      <c r="D4" s="6" t="n">
        <v>9428.58708830192</v>
      </c>
      <c r="E4" s="6" t="n">
        <v>11957.7944082077</v>
      </c>
      <c r="F4" s="6" t="n">
        <v>10259.0680367061</v>
      </c>
      <c r="G4" s="6" t="n">
        <v>8824.85986047352</v>
      </c>
      <c r="H4" s="6" t="n">
        <v>11871.824678139</v>
      </c>
      <c r="I4" s="6" t="n">
        <v>1148.48213636313</v>
      </c>
      <c r="J4" s="6" t="n">
        <v>806.99324584019</v>
      </c>
      <c r="K4" s="6" t="n">
        <v>1546.80305366819</v>
      </c>
      <c r="L4" s="6" t="n">
        <v>1111.10710981469</v>
      </c>
      <c r="M4" s="6" t="n">
        <v>766.118567186907</v>
      </c>
      <c r="N4" s="6" t="n">
        <v>1488.99597411569</v>
      </c>
      <c r="O4" s="6" t="n">
        <f aca="false">O22*S4</f>
        <v>320465969.563592</v>
      </c>
      <c r="P4" s="6" t="n">
        <f aca="false">P22*S4</f>
        <v>263151423.960607</v>
      </c>
      <c r="Q4" s="6" t="n">
        <f aca="false">Q22*S4</f>
        <v>387501964.360608</v>
      </c>
      <c r="R4" s="6" t="n">
        <f aca="false">O4/C4</f>
        <v>30238.6262644059</v>
      </c>
      <c r="S4" s="6" t="n">
        <f aca="false">C4/C22</f>
        <v>0.0264997226914358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93</v>
      </c>
      <c r="B5" s="5" t="s">
        <v>26</v>
      </c>
      <c r="C5" s="6" t="n">
        <v>128947.835287801</v>
      </c>
      <c r="D5" s="6" t="n">
        <v>92622.5325426917</v>
      </c>
      <c r="E5" s="6" t="n">
        <v>174585.914462991</v>
      </c>
      <c r="F5" s="6" t="n">
        <v>139272.739232431</v>
      </c>
      <c r="G5" s="6" t="n">
        <v>99313.2303748871</v>
      </c>
      <c r="H5" s="6" t="n">
        <v>189553.199246085</v>
      </c>
      <c r="I5" s="6" t="n">
        <v>5225.77954097131</v>
      </c>
      <c r="J5" s="6" t="n">
        <v>3326.39094355072</v>
      </c>
      <c r="K5" s="6" t="n">
        <v>7959.03887975504</v>
      </c>
      <c r="L5" s="6" t="n">
        <v>5648.75551649086</v>
      </c>
      <c r="M5" s="6" t="n">
        <v>3605.99880409476</v>
      </c>
      <c r="N5" s="6" t="n">
        <v>8455.71231751698</v>
      </c>
      <c r="O5" s="6" t="n">
        <v>605142245.77</v>
      </c>
      <c r="P5" s="6" t="n">
        <v>525732595.87</v>
      </c>
      <c r="Q5" s="6" t="n">
        <v>689946459.97</v>
      </c>
      <c r="R5" s="6" t="n">
        <f aca="false">O5/C5</f>
        <v>4692.92287396196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93</v>
      </c>
      <c r="B6" s="5" t="s">
        <v>22</v>
      </c>
      <c r="C6" s="6" t="n">
        <v>347945.127785598</v>
      </c>
      <c r="D6" s="7" t="n">
        <v>301775.650045597</v>
      </c>
      <c r="E6" s="7" t="n">
        <v>394114.605525599</v>
      </c>
      <c r="F6" s="6" t="n">
        <v>323151.209523995</v>
      </c>
      <c r="G6" s="7" t="n">
        <v>279300.522627022</v>
      </c>
      <c r="H6" s="7" t="n">
        <v>367001.896420968</v>
      </c>
      <c r="I6" s="6" t="n">
        <f aca="false">I24-I5</f>
        <v>12238.7539289211</v>
      </c>
      <c r="J6" s="6" t="n">
        <f aca="false">J24-J5</f>
        <v>9069.68415262458</v>
      </c>
      <c r="K6" s="6" t="n">
        <f aca="false">K24-K5</f>
        <v>16338.1360783144</v>
      </c>
      <c r="L6" s="6" t="n">
        <f aca="false">L24-L5</f>
        <v>11538.3187312137</v>
      </c>
      <c r="M6" s="6" t="n">
        <f aca="false">M24-M5</f>
        <v>8638.51637971864</v>
      </c>
      <c r="N6" s="6" t="n">
        <f aca="false">N24-N5</f>
        <v>15326.7224240383</v>
      </c>
      <c r="O6" s="5" t="n">
        <v>457805079.5</v>
      </c>
      <c r="P6" s="5" t="n">
        <v>267296460.19</v>
      </c>
      <c r="Q6" s="8" t="n">
        <v>562202691.6</v>
      </c>
      <c r="R6" s="6" t="n">
        <f aca="false">O6/C6</f>
        <v>1315.73930180766</v>
      </c>
    </row>
    <row r="7" s="5" customFormat="true" ht="14.25" hidden="false" customHeight="true" outlineLevel="0" collapsed="false">
      <c r="A7" s="5" t="s">
        <v>93</v>
      </c>
      <c r="B7" s="5" t="s">
        <v>98</v>
      </c>
      <c r="C7" s="6" t="n">
        <v>1388.39909481718</v>
      </c>
      <c r="D7" s="6" t="n">
        <v>489.606487103053</v>
      </c>
      <c r="E7" s="6" t="n">
        <v>2948.72512728888</v>
      </c>
      <c r="F7" s="6" t="n">
        <v>1372.26445486075</v>
      </c>
      <c r="G7" s="6" t="n">
        <v>468.977460592941</v>
      </c>
      <c r="H7" s="6" t="n">
        <v>3130.39779190499</v>
      </c>
      <c r="I7" s="6" t="n">
        <v>134.908155713585</v>
      </c>
      <c r="J7" s="6" t="n">
        <v>44.2736849036968</v>
      </c>
      <c r="K7" s="6" t="n">
        <v>320.93663862421</v>
      </c>
      <c r="L7" s="6" t="n">
        <v>133.344888631449</v>
      </c>
      <c r="M7" s="6" t="n">
        <v>40.5899468304562</v>
      </c>
      <c r="N7" s="6" t="n">
        <v>320.341408599024</v>
      </c>
      <c r="O7" s="6" t="n">
        <v>57124662.15</v>
      </c>
      <c r="P7" s="6" t="n">
        <v>46528172.1</v>
      </c>
      <c r="Q7" s="6" t="n">
        <v>67082790.14</v>
      </c>
      <c r="R7" s="6" t="n">
        <f aca="false">O7/C7</f>
        <v>41144.2663447732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93</v>
      </c>
      <c r="B8" s="5" t="s">
        <v>99</v>
      </c>
      <c r="C8" s="6" t="n">
        <v>395.007793821629</v>
      </c>
      <c r="D8" s="6" t="n">
        <v>328.736551199538</v>
      </c>
      <c r="E8" s="6" t="n">
        <v>496.325907692793</v>
      </c>
      <c r="F8" s="6" t="n">
        <v>436.249980981134</v>
      </c>
      <c r="G8" s="6" t="n">
        <v>359.889296018072</v>
      </c>
      <c r="H8" s="6" t="n">
        <v>548.409997254791</v>
      </c>
      <c r="I8" s="6" t="n">
        <v>46.9844447851845</v>
      </c>
      <c r="J8" s="6" t="n">
        <v>32.9993359211931</v>
      </c>
      <c r="K8" s="6" t="n">
        <v>64.9373348354204</v>
      </c>
      <c r="L8" s="6" t="n">
        <v>51.7355407802295</v>
      </c>
      <c r="M8" s="6" t="n">
        <v>36.3178074432332</v>
      </c>
      <c r="N8" s="6" t="n">
        <v>71.4869387950484</v>
      </c>
      <c r="O8" s="6" t="n">
        <v>83521399.36</v>
      </c>
      <c r="P8" s="6" t="n">
        <v>68047554.85</v>
      </c>
      <c r="Q8" s="6" t="n">
        <v>100287393.22</v>
      </c>
      <c r="R8" s="6" t="n">
        <f aca="false">O8/C8</f>
        <v>211442.408647044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93</v>
      </c>
      <c r="B9" s="5" t="s">
        <v>44</v>
      </c>
      <c r="C9" s="6" t="n">
        <v>569.471809744491</v>
      </c>
      <c r="D9" s="6" t="n">
        <v>501.453575843154</v>
      </c>
      <c r="E9" s="6" t="n">
        <v>651.26747645372</v>
      </c>
      <c r="F9" s="6" t="n">
        <v>565.652505204207</v>
      </c>
      <c r="G9" s="6" t="n">
        <v>485.171513606702</v>
      </c>
      <c r="H9" s="6" t="n">
        <v>661.724052469853</v>
      </c>
      <c r="I9" s="6" t="n">
        <v>120.8718606366</v>
      </c>
      <c r="J9" s="6" t="n">
        <v>87.8265685568723</v>
      </c>
      <c r="K9" s="6" t="n">
        <v>161.216526325597</v>
      </c>
      <c r="L9" s="6" t="n">
        <v>120.033904836993</v>
      </c>
      <c r="M9" s="6" t="n">
        <v>86.4398678732184</v>
      </c>
      <c r="N9" s="6" t="n">
        <v>161.243059869187</v>
      </c>
      <c r="O9" s="9" t="n">
        <v>130662772.7</v>
      </c>
      <c r="P9" s="9" t="n">
        <v>109740525.56</v>
      </c>
      <c r="Q9" s="9" t="n">
        <v>154060106.58</v>
      </c>
      <c r="R9" s="6" t="n">
        <f aca="false">O9/C9</f>
        <v>229445.550182063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93</v>
      </c>
      <c r="B10" s="5" t="s">
        <v>100</v>
      </c>
      <c r="C10" s="6" t="n">
        <v>38727.11</v>
      </c>
      <c r="D10" s="6" t="n">
        <v>33923.26</v>
      </c>
      <c r="E10" s="6" t="n">
        <v>43585.36</v>
      </c>
      <c r="F10" s="6" t="n">
        <v>37093.61</v>
      </c>
      <c r="G10" s="6" t="n">
        <v>32529.75</v>
      </c>
      <c r="H10" s="6" t="n">
        <v>41625.7</v>
      </c>
      <c r="I10" s="6" t="n">
        <v>7155.9</v>
      </c>
      <c r="J10" s="6" t="n">
        <v>4965.6</v>
      </c>
      <c r="K10" s="6" t="n">
        <v>9596.62</v>
      </c>
      <c r="L10" s="6" t="n">
        <v>6894.9</v>
      </c>
      <c r="M10" s="6" t="n">
        <v>4796.38</v>
      </c>
      <c r="N10" s="6" t="n">
        <v>9300.1</v>
      </c>
      <c r="O10" s="6" t="n">
        <v>72810449.36</v>
      </c>
      <c r="P10" s="6" t="n">
        <v>60715899.25</v>
      </c>
      <c r="Q10" s="6" t="n">
        <v>86988273.26</v>
      </c>
      <c r="R10" s="6" t="n">
        <f aca="false">O10/C10</f>
        <v>1880.08992563607</v>
      </c>
      <c r="S10" s="6" t="n">
        <f aca="false">C10/C22</f>
        <v>0.0968359365799056</v>
      </c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93</v>
      </c>
      <c r="B11" s="5" t="s">
        <v>101</v>
      </c>
      <c r="C11" s="6" t="n">
        <v>733096.38</v>
      </c>
      <c r="D11" s="6" t="n">
        <v>691022.46</v>
      </c>
      <c r="E11" s="6" t="n">
        <v>777781.07</v>
      </c>
      <c r="F11" s="6" t="n">
        <v>713441.03</v>
      </c>
      <c r="G11" s="6" t="n">
        <v>673192.56</v>
      </c>
      <c r="H11" s="6" t="n">
        <v>759439.72</v>
      </c>
      <c r="I11" s="6" t="n">
        <v>36090.16</v>
      </c>
      <c r="J11" s="6" t="n">
        <v>26762.24</v>
      </c>
      <c r="K11" s="6" t="n">
        <v>46226.01</v>
      </c>
      <c r="L11" s="6" t="n">
        <v>34772.54</v>
      </c>
      <c r="M11" s="6" t="n">
        <v>26002.19</v>
      </c>
      <c r="N11" s="6" t="n">
        <v>45274.53</v>
      </c>
      <c r="O11" s="6" t="n">
        <v>5201020250.97</v>
      </c>
      <c r="P11" s="6" t="n">
        <v>4166454137.04</v>
      </c>
      <c r="Q11" s="6" t="n">
        <v>6362344573.47</v>
      </c>
      <c r="R11" s="6" t="n">
        <f aca="false">O11/C11</f>
        <v>7094.59273413681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93</v>
      </c>
      <c r="B12" s="5" t="s">
        <v>102</v>
      </c>
      <c r="C12" s="6" t="n">
        <v>2268.58704196972</v>
      </c>
      <c r="D12" s="6" t="n">
        <v>1925.59605155134</v>
      </c>
      <c r="E12" s="6" t="n">
        <v>2619.09801751033</v>
      </c>
      <c r="F12" s="6" t="n">
        <v>2077.55156468268</v>
      </c>
      <c r="G12" s="6" t="n">
        <v>1734.63400452103</v>
      </c>
      <c r="H12" s="6" t="n">
        <v>2472.13023729597</v>
      </c>
      <c r="I12" s="6" t="n">
        <v>679.613273480589</v>
      </c>
      <c r="J12" s="6" t="n">
        <v>479.942388980335</v>
      </c>
      <c r="K12" s="6" t="n">
        <v>916.594178981251</v>
      </c>
      <c r="L12" s="6" t="n">
        <v>623.048584718112</v>
      </c>
      <c r="M12" s="6" t="n">
        <v>439.940311029664</v>
      </c>
      <c r="N12" s="6" t="n">
        <v>850.83511502481</v>
      </c>
      <c r="O12" s="6" t="n">
        <f aca="false">O22*S12</f>
        <v>68598955.7103964</v>
      </c>
      <c r="P12" s="6" t="n">
        <f aca="false">P22*S12</f>
        <v>56330202.2426419</v>
      </c>
      <c r="Q12" s="6" t="n">
        <f aca="false">Q22*S12</f>
        <v>82948682.9040365</v>
      </c>
      <c r="R12" s="6" t="n">
        <f aca="false">O12/C12</f>
        <v>30238.6262644059</v>
      </c>
      <c r="S12" s="6" t="n">
        <f aca="false">C12/C22</f>
        <v>0.00567253148820491</v>
      </c>
      <c r="T12" s="5" t="s">
        <v>95</v>
      </c>
      <c r="U12" s="5" t="s">
        <v>96</v>
      </c>
    </row>
    <row r="13" s="10" customFormat="true" ht="14.25" hidden="false" customHeight="true" outlineLevel="0" collapsed="false">
      <c r="A13" s="10" t="s">
        <v>93</v>
      </c>
      <c r="B13" s="10" t="s">
        <v>103</v>
      </c>
      <c r="C13" s="11" t="n">
        <v>16317.76</v>
      </c>
      <c r="D13" s="11" t="n">
        <v>7327.97</v>
      </c>
      <c r="E13" s="11" t="n">
        <v>30642.31</v>
      </c>
      <c r="F13" s="11" t="n">
        <v>15876.17</v>
      </c>
      <c r="G13" s="11" t="n">
        <v>7312.08</v>
      </c>
      <c r="H13" s="11" t="n">
        <v>29143.1</v>
      </c>
      <c r="I13" s="11" t="n">
        <v>1218.96</v>
      </c>
      <c r="J13" s="11" t="n">
        <v>491.45</v>
      </c>
      <c r="K13" s="11" t="n">
        <v>2370.13</v>
      </c>
      <c r="L13" s="11" t="n">
        <v>1187.76</v>
      </c>
      <c r="M13" s="11" t="n">
        <v>478.9</v>
      </c>
      <c r="N13" s="11" t="n">
        <v>2227.02</v>
      </c>
      <c r="O13" s="11" t="n">
        <v>348502024.54</v>
      </c>
      <c r="P13" s="11" t="n">
        <v>249399457.189999</v>
      </c>
      <c r="Q13" s="11" t="n">
        <v>465379123.04</v>
      </c>
      <c r="R13" s="11" t="n">
        <f aca="false">O13/C13</f>
        <v>21357.2221027886</v>
      </c>
      <c r="S13" s="11"/>
      <c r="T13" s="10" t="s">
        <v>95</v>
      </c>
      <c r="U13" s="10" t="s">
        <v>96</v>
      </c>
    </row>
    <row r="14" s="5" customFormat="true" ht="14.25" hidden="false" customHeight="true" outlineLevel="0" collapsed="false">
      <c r="A14" s="5" t="s">
        <v>93</v>
      </c>
      <c r="B14" s="5" t="s">
        <v>104</v>
      </c>
      <c r="C14" s="6" t="n">
        <v>34400.2056783876</v>
      </c>
      <c r="D14" s="6" t="n">
        <v>30789.5004365856</v>
      </c>
      <c r="E14" s="6" t="n">
        <v>39386.1052832731</v>
      </c>
      <c r="F14" s="6" t="n">
        <v>33352.1153274666</v>
      </c>
      <c r="G14" s="6" t="n">
        <v>29543.6660578983</v>
      </c>
      <c r="H14" s="6" t="n">
        <v>38341.5749029673</v>
      </c>
      <c r="I14" s="6" t="n">
        <v>4117.25888976164</v>
      </c>
      <c r="J14" s="6" t="n">
        <v>2897.97049442267</v>
      </c>
      <c r="K14" s="6" t="n">
        <v>5705.43617110759</v>
      </c>
      <c r="L14" s="6" t="n">
        <v>3988.69266987284</v>
      </c>
      <c r="M14" s="6" t="n">
        <v>2793.59612174974</v>
      </c>
      <c r="N14" s="6" t="n">
        <v>5546.52967028252</v>
      </c>
      <c r="O14" s="6" t="n">
        <f aca="false">O22*S14</f>
        <v>1097213972.84737</v>
      </c>
      <c r="P14" s="6" t="n">
        <f aca="false">P22*S14</f>
        <v>900979969.066468</v>
      </c>
      <c r="Q14" s="6" t="n">
        <f aca="false">Q22*S14</f>
        <v>1326732352.83378</v>
      </c>
      <c r="R14" s="6" t="n">
        <f aca="false">O14/C14</f>
        <v>31895.5643203235</v>
      </c>
      <c r="S14" s="6" t="n">
        <f aca="false">E14/E22</f>
        <v>0.0907299644115698</v>
      </c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93</v>
      </c>
      <c r="B15" s="5" t="s">
        <v>105</v>
      </c>
      <c r="C15" s="6" t="n">
        <v>11390.17</v>
      </c>
      <c r="D15" s="6" t="n">
        <v>4186.6</v>
      </c>
      <c r="E15" s="6" t="n">
        <v>20898.86</v>
      </c>
      <c r="F15" s="6" t="n">
        <v>11070.65</v>
      </c>
      <c r="G15" s="6" t="n">
        <v>4093.76</v>
      </c>
      <c r="H15" s="6" t="n">
        <v>20366.13</v>
      </c>
      <c r="I15" s="6" t="n">
        <v>2672.51</v>
      </c>
      <c r="J15" s="6" t="n">
        <v>1657.35</v>
      </c>
      <c r="K15" s="6" t="n">
        <v>4121.54</v>
      </c>
      <c r="L15" s="6" t="n">
        <v>2609.75</v>
      </c>
      <c r="M15" s="6" t="n">
        <v>1630.17</v>
      </c>
      <c r="N15" s="6" t="n">
        <v>4009.76</v>
      </c>
      <c r="O15" s="6" t="n">
        <f aca="false">O22*S15</f>
        <v>582198240.817666</v>
      </c>
      <c r="P15" s="6" t="n">
        <f aca="false">P22*S15</f>
        <v>478073526.206744</v>
      </c>
      <c r="Q15" s="6" t="n">
        <f aca="false">Q22*S15</f>
        <v>703984146.183636</v>
      </c>
      <c r="R15" s="6" t="n">
        <f aca="false">O15/C15</f>
        <v>51114.0958227723</v>
      </c>
      <c r="S15" s="6" t="n">
        <f aca="false">E15/E22</f>
        <v>0.0481426840863003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93</v>
      </c>
      <c r="B16" s="5" t="s">
        <v>5</v>
      </c>
      <c r="C16" s="6" t="n">
        <f aca="false">C25*0.08</f>
        <v>55399.1137103223</v>
      </c>
      <c r="D16" s="6" t="n">
        <f aca="false">D25*0.08</f>
        <v>49413.7252301975</v>
      </c>
      <c r="E16" s="6" t="n">
        <f aca="false">E25*0.08</f>
        <v>62433.963635323</v>
      </c>
      <c r="F16" s="6" t="n">
        <f aca="false">F25*0.08</f>
        <v>53405.9392741846</v>
      </c>
      <c r="G16" s="6" t="n">
        <f aca="false">G25*0.08</f>
        <v>47522.9714836679</v>
      </c>
      <c r="H16" s="6" t="n">
        <f aca="false">H25*0.08</f>
        <v>60325.7872461864</v>
      </c>
      <c r="I16" s="6" t="n">
        <f aca="false">I25*0.08</f>
        <v>5104.8897231707</v>
      </c>
      <c r="J16" s="6" t="n">
        <f aca="false">J25*0.08</f>
        <v>3452.18415644598</v>
      </c>
      <c r="K16" s="6" t="n">
        <f aca="false">K25*0.08</f>
        <v>7028.88413650628</v>
      </c>
      <c r="L16" s="6" t="n">
        <f aca="false">L25*0.08</f>
        <v>4910.03063605044</v>
      </c>
      <c r="M16" s="6" t="n">
        <f aca="false">M25*0.08</f>
        <v>3349.6606838106</v>
      </c>
      <c r="N16" s="6" t="n">
        <f aca="false">N25*0.08</f>
        <v>6761.60039640318</v>
      </c>
      <c r="O16" s="6" t="n">
        <f aca="false">O23*S16</f>
        <v>11114794.5842482</v>
      </c>
      <c r="P16" s="6" t="n">
        <f aca="false">P23*S16</f>
        <v>9583336.54959917</v>
      </c>
      <c r="Q16" s="6" t="n">
        <f aca="false">Q23*S16</f>
        <v>12817683.5972992</v>
      </c>
      <c r="R16" s="6" t="n">
        <f aca="false">O16/C16</f>
        <v>200.631270788312</v>
      </c>
      <c r="S16" s="6" t="n">
        <f aca="false">C16/C23</f>
        <v>0.0466203620131738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93</v>
      </c>
      <c r="B17" s="5" t="s">
        <v>106</v>
      </c>
      <c r="C17" s="6" t="n">
        <v>1873.04</v>
      </c>
      <c r="D17" s="6" t="n">
        <v>1335.81</v>
      </c>
      <c r="E17" s="6" t="n">
        <v>2445.06</v>
      </c>
      <c r="F17" s="6" t="n">
        <v>1877.44</v>
      </c>
      <c r="G17" s="6" t="n">
        <v>1391.72</v>
      </c>
      <c r="H17" s="6" t="n">
        <v>2425.16</v>
      </c>
      <c r="I17" s="6" t="n">
        <v>172.87</v>
      </c>
      <c r="J17" s="6" t="n">
        <v>108.88</v>
      </c>
      <c r="K17" s="6" t="n">
        <v>242</v>
      </c>
      <c r="L17" s="6" t="n">
        <v>173.9</v>
      </c>
      <c r="M17" s="6" t="n">
        <v>109.25</v>
      </c>
      <c r="N17" s="6" t="n">
        <v>247.49</v>
      </c>
      <c r="O17" s="6" t="n">
        <v>39733368.89</v>
      </c>
      <c r="P17" s="6" t="n">
        <v>31893611.64</v>
      </c>
      <c r="Q17" s="6" t="n">
        <v>49017825.74</v>
      </c>
      <c r="R17" s="6" t="n">
        <f aca="false">O17/C17</f>
        <v>21213.3050495451</v>
      </c>
      <c r="S17" s="6"/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93</v>
      </c>
      <c r="B18" s="5" t="s">
        <v>41</v>
      </c>
      <c r="C18" s="6" t="n">
        <v>10977.1705395047</v>
      </c>
      <c r="D18" s="6" t="n">
        <v>9483.29153446314</v>
      </c>
      <c r="E18" s="6" t="n">
        <v>12599.890352126</v>
      </c>
      <c r="F18" s="6" t="n">
        <v>10229.4761918839</v>
      </c>
      <c r="G18" s="6" t="n">
        <v>8784.34925200719</v>
      </c>
      <c r="H18" s="6" t="n">
        <v>11946.5612437038</v>
      </c>
      <c r="I18" s="6" t="n">
        <v>1517.14988360787</v>
      </c>
      <c r="J18" s="6" t="n">
        <v>1083.29852885034</v>
      </c>
      <c r="K18" s="6" t="n">
        <v>1965.5989346133</v>
      </c>
      <c r="L18" s="6" t="n">
        <v>1416.08812043322</v>
      </c>
      <c r="M18" s="6" t="n">
        <v>985.810101935675</v>
      </c>
      <c r="N18" s="6" t="n">
        <v>1881.74899639174</v>
      </c>
      <c r="O18" s="6" t="n">
        <v>153597269.11</v>
      </c>
      <c r="P18" s="6" t="n">
        <v>130137676.37</v>
      </c>
      <c r="Q18" s="6" t="n">
        <v>179934524.67</v>
      </c>
      <c r="R18" s="6" t="n">
        <f aca="false">O18/C18</f>
        <v>13992.4280630636</v>
      </c>
      <c r="S18" s="6"/>
      <c r="T18" s="5" t="s">
        <v>95</v>
      </c>
      <c r="U18" s="5" t="s">
        <v>96</v>
      </c>
    </row>
    <row r="22" s="5" customFormat="true" ht="14.25" hidden="false" customHeight="true" outlineLevel="0" collapsed="false">
      <c r="B22" s="5" t="s">
        <v>107</v>
      </c>
      <c r="C22" s="6" t="n">
        <v>399924.98</v>
      </c>
      <c r="D22" s="6" t="n">
        <v>368425.76</v>
      </c>
      <c r="E22" s="6" t="n">
        <v>434102.51</v>
      </c>
      <c r="F22" s="6" t="n">
        <v>377144.16</v>
      </c>
      <c r="G22" s="6" t="n">
        <v>344627.73</v>
      </c>
      <c r="H22" s="6" t="n">
        <v>413412.55</v>
      </c>
      <c r="I22" s="6" t="n">
        <v>40177.51</v>
      </c>
      <c r="J22" s="6" t="n">
        <v>28289.09</v>
      </c>
      <c r="K22" s="6" t="n">
        <v>55061.08</v>
      </c>
      <c r="L22" s="6" t="n">
        <v>38120.11</v>
      </c>
      <c r="M22" s="6" t="n">
        <v>26446.78</v>
      </c>
      <c r="N22" s="6" t="n">
        <v>53735.76</v>
      </c>
      <c r="O22" s="6" t="n">
        <v>12093182004.02</v>
      </c>
      <c r="P22" s="6" t="n">
        <v>9930346329.46</v>
      </c>
      <c r="Q22" s="6" t="n">
        <v>14622868656.88</v>
      </c>
      <c r="R22" s="6"/>
      <c r="S22" s="6"/>
    </row>
    <row r="23" s="5" customFormat="true" ht="14.25" hidden="false" customHeight="true" outlineLevel="0" collapsed="false">
      <c r="B23" s="6" t="s">
        <v>108</v>
      </c>
      <c r="C23" s="6" t="n">
        <v>1188302.95</v>
      </c>
      <c r="D23" s="6" t="n">
        <v>998896.7</v>
      </c>
      <c r="E23" s="6" t="n">
        <v>1460692</v>
      </c>
      <c r="F23" s="6" t="n">
        <v>1076548.3</v>
      </c>
      <c r="G23" s="6" t="n">
        <v>864954.18</v>
      </c>
      <c r="H23" s="6" t="n">
        <v>1342703.28</v>
      </c>
      <c r="I23" s="6" t="n">
        <v>15862.21</v>
      </c>
      <c r="J23" s="6" t="n">
        <v>9001.24</v>
      </c>
      <c r="K23" s="6" t="n">
        <v>27054.73</v>
      </c>
      <c r="L23" s="6" t="n">
        <v>14518.93</v>
      </c>
      <c r="M23" s="6" t="n">
        <v>7377.84</v>
      </c>
      <c r="N23" s="6" t="n">
        <v>25361.42</v>
      </c>
      <c r="O23" s="6" t="n">
        <v>238410730.94</v>
      </c>
      <c r="P23" s="6" t="n">
        <v>205561178.33</v>
      </c>
      <c r="Q23" s="6" t="n">
        <v>274937453.16</v>
      </c>
      <c r="R23" s="6"/>
      <c r="S23" s="6"/>
    </row>
    <row r="24" customFormat="false" ht="14.25" hidden="false" customHeight="true" outlineLevel="0" collapsed="false">
      <c r="B24" s="1" t="s">
        <v>109</v>
      </c>
      <c r="C24" s="12" t="n">
        <v>471976.189059082</v>
      </c>
      <c r="D24" s="12" t="n">
        <v>407967.931564576</v>
      </c>
      <c r="E24" s="12" t="n">
        <v>537541.009816669</v>
      </c>
      <c r="F24" s="12" t="n">
        <v>457602.251305719</v>
      </c>
      <c r="G24" s="12" t="n">
        <v>392959.321826838</v>
      </c>
      <c r="H24" s="12" t="n">
        <v>522136.158286893</v>
      </c>
      <c r="I24" s="12" t="n">
        <v>17464.5334698924</v>
      </c>
      <c r="J24" s="12" t="n">
        <v>12396.0750961753</v>
      </c>
      <c r="K24" s="12" t="n">
        <v>24297.1749580694</v>
      </c>
      <c r="L24" s="12" t="n">
        <v>17187.0742477046</v>
      </c>
      <c r="M24" s="12" t="n">
        <v>12244.5151838134</v>
      </c>
      <c r="N24" s="12" t="n">
        <v>23782.4347415553</v>
      </c>
      <c r="O24" s="12" t="n">
        <f aca="false">O5+O6</f>
        <v>1062947325.27</v>
      </c>
      <c r="P24" s="12" t="n">
        <f aca="false">P5+P6</f>
        <v>793029056.06</v>
      </c>
      <c r="Q24" s="12" t="n">
        <f aca="false">Q5+Q6</f>
        <v>1252149151.57</v>
      </c>
      <c r="R24" s="12"/>
      <c r="S24" s="12"/>
      <c r="T24" s="1" t="s">
        <v>95</v>
      </c>
      <c r="U24" s="1" t="s">
        <v>96</v>
      </c>
    </row>
    <row r="25" customFormat="false" ht="14.25" hidden="false" customHeight="true" outlineLevel="0" collapsed="false">
      <c r="B25" s="1" t="s">
        <v>110</v>
      </c>
      <c r="C25" s="12" t="n">
        <v>692488.921379029</v>
      </c>
      <c r="D25" s="12" t="n">
        <v>617671.565377469</v>
      </c>
      <c r="E25" s="12" t="n">
        <v>780424.545441537</v>
      </c>
      <c r="F25" s="12" t="n">
        <v>667574.240927307</v>
      </c>
      <c r="G25" s="12" t="n">
        <v>594037.143545849</v>
      </c>
      <c r="H25" s="12" t="n">
        <v>754072.34057733</v>
      </c>
      <c r="I25" s="12" t="n">
        <v>63811.1215396338</v>
      </c>
      <c r="J25" s="12" t="n">
        <v>43152.3019555748</v>
      </c>
      <c r="K25" s="12" t="n">
        <v>87861.0517063285</v>
      </c>
      <c r="L25" s="12" t="n">
        <v>61375.3829506305</v>
      </c>
      <c r="M25" s="12" t="n">
        <v>41870.7585476325</v>
      </c>
      <c r="N25" s="12" t="n">
        <v>84520.0049550397</v>
      </c>
      <c r="O25" s="9" t="n">
        <v>526974112.58</v>
      </c>
      <c r="P25" s="9" t="n">
        <v>451013405.5</v>
      </c>
      <c r="Q25" s="9" t="n">
        <v>609482954.79</v>
      </c>
      <c r="R25" s="12"/>
      <c r="S25" s="12" t="n">
        <v>1</v>
      </c>
      <c r="T25" s="1" t="s">
        <v>95</v>
      </c>
      <c r="U25" s="1" t="s">
        <v>96</v>
      </c>
    </row>
    <row r="27" customFormat="false" ht="14.25" hidden="false" customHeight="true" outlineLevel="0" collapsed="false">
      <c r="C27" s="1" t="s">
        <v>111</v>
      </c>
      <c r="D27" s="1" t="n">
        <f aca="false">C5/C24</f>
        <v>0.273208348804349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3.79"/>
    <col collapsed="false" customWidth="true" hidden="false" outlineLevel="0" max="3" min="3" style="1" width="14.88"/>
    <col collapsed="false" customWidth="true" hidden="false" outlineLevel="0" max="4" min="4" style="1" width="1.44"/>
    <col collapsed="false" customWidth="true" hidden="true" outlineLevel="0" max="5" min="5" style="1" width="17.76"/>
    <col collapsed="false" customWidth="true" hidden="true" outlineLevel="0" max="6" min="6" style="1" width="16.77"/>
    <col collapsed="false" customWidth="true" hidden="true" outlineLevel="0" max="7" min="7" style="1" width="16"/>
    <col collapsed="false" customWidth="true" hidden="true" outlineLevel="0" max="8" min="8" style="1" width="11.44"/>
    <col collapsed="false" customWidth="true" hidden="true" outlineLevel="0" max="9" min="9" style="1" width="10.44"/>
    <col collapsed="false" customWidth="true" hidden="true" outlineLevel="0" max="10" min="10" style="1" width="4"/>
    <col collapsed="false" customWidth="true" hidden="true" outlineLevel="0" max="11" min="11" style="1" width="5"/>
    <col collapsed="false" customWidth="true" hidden="true" outlineLevel="0" max="13" min="12" style="1" width="10.44"/>
    <col collapsed="false" customWidth="true" hidden="true" outlineLevel="0" max="14" min="14" style="1" width="11.22"/>
    <col collapsed="false" customWidth="true" hidden="false" outlineLevel="0" max="17" min="15" style="1" width="16.89"/>
    <col collapsed="false" customWidth="true" hidden="false" outlineLevel="0" max="18" min="18" style="1" width="16.44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112</v>
      </c>
      <c r="B2" s="5" t="s">
        <v>94</v>
      </c>
      <c r="C2" s="6" t="n">
        <v>3982.58165782202</v>
      </c>
      <c r="D2" s="6" t="n">
        <v>2701.47321943248</v>
      </c>
      <c r="E2" s="6" t="n">
        <v>5760.15223629129</v>
      </c>
      <c r="F2" s="6" t="n">
        <v>4054.05482226271</v>
      </c>
      <c r="G2" s="6" t="n">
        <v>2605.10048402497</v>
      </c>
      <c r="H2" s="6" t="n">
        <v>6103.74986694135</v>
      </c>
      <c r="I2" s="6" t="n">
        <v>293.400113567634</v>
      </c>
      <c r="J2" s="6" t="n">
        <v>181.689686175946</v>
      </c>
      <c r="K2" s="6" t="n">
        <v>462.063647015039</v>
      </c>
      <c r="L2" s="6" t="n">
        <v>298.404949249642</v>
      </c>
      <c r="M2" s="6" t="n">
        <v>172.17616518556</v>
      </c>
      <c r="N2" s="6" t="n">
        <v>486.882721447324</v>
      </c>
      <c r="O2" s="13" t="n">
        <v>413246386.36</v>
      </c>
      <c r="P2" s="13" t="n">
        <v>358280260.38</v>
      </c>
      <c r="Q2" s="13" t="n">
        <v>480262060.09</v>
      </c>
      <c r="R2" s="6" t="n">
        <f aca="false">O2/C2</f>
        <v>103763.443380592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112</v>
      </c>
      <c r="B3" s="5" t="s">
        <v>97</v>
      </c>
      <c r="C3" s="6" t="n">
        <v>44259.8647683402</v>
      </c>
      <c r="D3" s="6" t="n">
        <v>35979.3154275052</v>
      </c>
      <c r="E3" s="6" t="n">
        <v>54391.3802617234</v>
      </c>
      <c r="F3" s="6" t="n">
        <v>43520.5460675463</v>
      </c>
      <c r="G3" s="6" t="n">
        <v>34616.6140444373</v>
      </c>
      <c r="H3" s="6" t="n">
        <v>54762.0406447239</v>
      </c>
      <c r="I3" s="6" t="n">
        <v>6793.44794196571</v>
      </c>
      <c r="J3" s="6" t="n">
        <v>4339.66564202477</v>
      </c>
      <c r="K3" s="6" t="n">
        <v>9717.64547083903</v>
      </c>
      <c r="L3" s="6" t="n">
        <v>6669.04473760702</v>
      </c>
      <c r="M3" s="6" t="n">
        <v>4397.27821642368</v>
      </c>
      <c r="N3" s="6" t="n">
        <v>9868.4315727863</v>
      </c>
      <c r="O3" s="6" t="n">
        <f aca="false">O21*S3</f>
        <v>962138244.93684</v>
      </c>
      <c r="P3" s="6" t="n">
        <f aca="false">P21*S3</f>
        <v>808102144.099527</v>
      </c>
      <c r="Q3" s="6" t="n">
        <f aca="false">Q21*S3</f>
        <v>1146684050.70108</v>
      </c>
      <c r="R3" s="6" t="n">
        <f aca="false">O3/C3</f>
        <v>21738.3909773053</v>
      </c>
      <c r="S3" s="6" t="n">
        <f aca="false">C3/C21</f>
        <v>0.220040800483337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112</v>
      </c>
      <c r="B4" s="5" t="s">
        <v>37</v>
      </c>
      <c r="C4" s="6" t="n">
        <v>11014.3852202341</v>
      </c>
      <c r="D4" s="6" t="n">
        <v>9791.90640684112</v>
      </c>
      <c r="E4" s="6" t="n">
        <v>12420.5962491765</v>
      </c>
      <c r="F4" s="6" t="n">
        <v>11114.061087648</v>
      </c>
      <c r="G4" s="6" t="n">
        <v>9542.41304600547</v>
      </c>
      <c r="H4" s="6" t="n">
        <v>12857.2984036769</v>
      </c>
      <c r="I4" s="6" t="n">
        <v>1192.88790256284</v>
      </c>
      <c r="J4" s="6" t="n">
        <v>842.089232617516</v>
      </c>
      <c r="K4" s="6" t="n">
        <v>1614.84213698861</v>
      </c>
      <c r="L4" s="6" t="n">
        <v>1204.63678893472</v>
      </c>
      <c r="M4" s="6" t="n">
        <v>826.708117404896</v>
      </c>
      <c r="N4" s="6" t="n">
        <v>1620.44474521594</v>
      </c>
      <c r="O4" s="6" t="n">
        <f aca="false">O21*S4</f>
        <v>239435012.292102</v>
      </c>
      <c r="P4" s="6" t="n">
        <f aca="false">P21*S4</f>
        <v>201102022.317433</v>
      </c>
      <c r="Q4" s="6" t="n">
        <f aca="false">Q21*S4</f>
        <v>285360561.457354</v>
      </c>
      <c r="R4" s="6" t="n">
        <f aca="false">O4/C4</f>
        <v>21738.3909773053</v>
      </c>
      <c r="S4" s="6" t="n">
        <f aca="false">C4/C21</f>
        <v>0.0547587335247756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112</v>
      </c>
      <c r="B5" s="5" t="s">
        <v>26</v>
      </c>
      <c r="C5" s="6" t="n">
        <v>428262.614267316</v>
      </c>
      <c r="D5" s="6" t="n">
        <v>316255.174339398</v>
      </c>
      <c r="E5" s="6" t="n">
        <v>580376.049101571</v>
      </c>
      <c r="F5" s="6" t="n">
        <v>491870.917660205</v>
      </c>
      <c r="G5" s="6" t="n">
        <v>360427.835624117</v>
      </c>
      <c r="H5" s="6" t="n">
        <v>669566.749974928</v>
      </c>
      <c r="I5" s="6" t="n">
        <v>17333.732742143</v>
      </c>
      <c r="J5" s="6" t="n">
        <v>11070.7750452739</v>
      </c>
      <c r="K5" s="6" t="n">
        <v>24913.9172770307</v>
      </c>
      <c r="L5" s="6" t="n">
        <v>19892.2327941274</v>
      </c>
      <c r="M5" s="6" t="n">
        <v>12500.9277257997</v>
      </c>
      <c r="N5" s="6" t="n">
        <v>28786.3234585882</v>
      </c>
      <c r="O5" s="6" t="n">
        <v>837659910.1</v>
      </c>
      <c r="P5" s="6" t="n">
        <v>727069516.75</v>
      </c>
      <c r="Q5" s="6" t="n">
        <v>950990839.19</v>
      </c>
      <c r="R5" s="6" t="n">
        <f aca="false">O5/C5</f>
        <v>1955.94918209962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112</v>
      </c>
      <c r="B6" s="5" t="s">
        <v>98</v>
      </c>
      <c r="C6" s="6" t="n">
        <v>1777.39635001271</v>
      </c>
      <c r="D6" s="6" t="n">
        <v>1217.07305787186</v>
      </c>
      <c r="E6" s="6" t="n">
        <v>2610.50001564651</v>
      </c>
      <c r="F6" s="6" t="n">
        <v>2175.7555041521</v>
      </c>
      <c r="G6" s="6" t="n">
        <v>1183.57948051216</v>
      </c>
      <c r="H6" s="6" t="n">
        <v>3718.26730379828</v>
      </c>
      <c r="I6" s="6" t="n">
        <v>173.04789073799</v>
      </c>
      <c r="J6" s="6" t="n">
        <v>104.924451705734</v>
      </c>
      <c r="K6" s="6" t="n">
        <v>266.110999134215</v>
      </c>
      <c r="L6" s="6" t="n">
        <v>211.024947846891</v>
      </c>
      <c r="M6" s="6" t="n">
        <v>103.575867152688</v>
      </c>
      <c r="N6" s="6" t="n">
        <v>395.336950970772</v>
      </c>
      <c r="O6" s="6" t="n">
        <v>122897678.87</v>
      </c>
      <c r="P6" s="6" t="n">
        <v>104152537.45</v>
      </c>
      <c r="Q6" s="6" t="n">
        <v>143016216.19</v>
      </c>
      <c r="R6" s="6" t="n">
        <f aca="false">O6/C6</f>
        <v>69144.7795924197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112</v>
      </c>
      <c r="B7" s="5" t="s">
        <v>44</v>
      </c>
      <c r="C7" s="6" t="n">
        <v>917.877296422214</v>
      </c>
      <c r="D7" s="6" t="n">
        <v>798.043380751902</v>
      </c>
      <c r="E7" s="6" t="n">
        <v>1049.77370906486</v>
      </c>
      <c r="F7" s="6" t="n">
        <v>958.990344791093</v>
      </c>
      <c r="G7" s="6" t="n">
        <v>820.304831762545</v>
      </c>
      <c r="H7" s="6" t="n">
        <v>1130.44790639578</v>
      </c>
      <c r="I7" s="6" t="n">
        <v>194.834232924611</v>
      </c>
      <c r="J7" s="6" t="n">
        <v>139.283930423007</v>
      </c>
      <c r="K7" s="6" t="n">
        <v>262.231269797287</v>
      </c>
      <c r="L7" s="6" t="n">
        <v>203.518537081443</v>
      </c>
      <c r="M7" s="6" t="n">
        <v>145.808719654006</v>
      </c>
      <c r="N7" s="6" t="n">
        <v>274.957020931455</v>
      </c>
      <c r="O7" s="6" t="n">
        <v>294515781.33</v>
      </c>
      <c r="P7" s="6" t="n">
        <v>245244610.86</v>
      </c>
      <c r="Q7" s="6" t="n">
        <v>351630228.21</v>
      </c>
      <c r="R7" s="6" t="n">
        <f aca="false">O7/C7</f>
        <v>320866.179475177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112</v>
      </c>
      <c r="B8" s="5" t="s">
        <v>113</v>
      </c>
      <c r="C8" s="6" t="n">
        <v>29651.7288758169</v>
      </c>
      <c r="D8" s="6" t="n">
        <v>14358.2379134517</v>
      </c>
      <c r="E8" s="6" t="n">
        <v>56429.2299239475</v>
      </c>
      <c r="F8" s="6" t="n">
        <v>29748.3799138383</v>
      </c>
      <c r="G8" s="6" t="n">
        <v>14760.5791585629</v>
      </c>
      <c r="H8" s="6" t="n">
        <v>57351.9109698065</v>
      </c>
      <c r="I8" s="6" t="n">
        <v>3125.53210054071</v>
      </c>
      <c r="J8" s="6" t="n">
        <v>1349.15210934764</v>
      </c>
      <c r="K8" s="6" t="n">
        <v>6260.94386952068</v>
      </c>
      <c r="L8" s="6" t="n">
        <v>3112.95820986207</v>
      </c>
      <c r="M8" s="6" t="n">
        <v>1348.8929190281</v>
      </c>
      <c r="N8" s="6" t="n">
        <v>6200.96842448352</v>
      </c>
      <c r="O8" s="6" t="n">
        <v>51618269.54</v>
      </c>
      <c r="P8" s="6" t="n">
        <v>41630225.42</v>
      </c>
      <c r="Q8" s="6" t="n">
        <v>62884249.21</v>
      </c>
      <c r="R8" s="6" t="n">
        <f aca="false">O8/C8</f>
        <v>1740.81820848222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112</v>
      </c>
      <c r="B9" s="5" t="s">
        <v>100</v>
      </c>
      <c r="C9" s="6" t="n">
        <v>35215.51</v>
      </c>
      <c r="D9" s="6" t="n">
        <v>30040.6</v>
      </c>
      <c r="E9" s="6" t="n">
        <v>40404.74</v>
      </c>
      <c r="F9" s="6" t="n">
        <v>35153.52</v>
      </c>
      <c r="G9" s="6" t="n">
        <v>30276.99</v>
      </c>
      <c r="H9" s="6" t="n">
        <v>40187.38</v>
      </c>
      <c r="I9" s="6" t="n">
        <v>7804.15</v>
      </c>
      <c r="J9" s="6" t="n">
        <v>5496.95</v>
      </c>
      <c r="K9" s="6" t="n">
        <v>10581.63</v>
      </c>
      <c r="L9" s="6" t="n">
        <v>7808.01</v>
      </c>
      <c r="M9" s="6" t="n">
        <v>5656.95</v>
      </c>
      <c r="N9" s="6" t="n">
        <v>10788.59</v>
      </c>
      <c r="O9" s="6" t="n">
        <v>5692461.77</v>
      </c>
      <c r="P9" s="6" t="n">
        <v>4520371.14</v>
      </c>
      <c r="Q9" s="6" t="n">
        <v>6957877.67</v>
      </c>
      <c r="R9" s="6" t="n">
        <f aca="false">O9/C9</f>
        <v>161.646438458509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112</v>
      </c>
      <c r="B10" s="5" t="s">
        <v>101</v>
      </c>
      <c r="C10" s="6" t="n">
        <v>295977.77</v>
      </c>
      <c r="D10" s="6" t="n">
        <v>251272.64</v>
      </c>
      <c r="E10" s="6" t="n">
        <v>341630.24</v>
      </c>
      <c r="F10" s="6" t="n">
        <v>295457.32</v>
      </c>
      <c r="G10" s="6" t="n">
        <v>250641.82</v>
      </c>
      <c r="H10" s="6" t="n">
        <v>343977.16</v>
      </c>
      <c r="I10" s="6" t="n">
        <v>39007.13</v>
      </c>
      <c r="J10" s="6" t="n">
        <v>28805.5</v>
      </c>
      <c r="K10" s="6" t="n">
        <v>50425.21</v>
      </c>
      <c r="L10" s="6" t="n">
        <v>38776.13</v>
      </c>
      <c r="M10" s="6" t="n">
        <v>28395.44</v>
      </c>
      <c r="N10" s="6" t="n">
        <v>51002.31</v>
      </c>
      <c r="O10" s="6" t="n">
        <v>71993411.99</v>
      </c>
      <c r="P10" s="6" t="n">
        <v>58229449.92</v>
      </c>
      <c r="Q10" s="6" t="n">
        <v>87395520.56</v>
      </c>
      <c r="R10" s="6" t="n">
        <f aca="false">O10/C10</f>
        <v>243.239254049383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112</v>
      </c>
      <c r="B11" s="5" t="s">
        <v>102</v>
      </c>
      <c r="C11" s="6" t="n">
        <v>2077.17316496121</v>
      </c>
      <c r="D11" s="6" t="n">
        <v>1761.00439318763</v>
      </c>
      <c r="E11" s="6" t="n">
        <v>2403.61926900319</v>
      </c>
      <c r="F11" s="6" t="n">
        <v>1985.60617859418</v>
      </c>
      <c r="G11" s="6" t="n">
        <v>1662.4670189192</v>
      </c>
      <c r="H11" s="6" t="n">
        <v>2367.97129799434</v>
      </c>
      <c r="I11" s="6" t="n">
        <v>633.441862448665</v>
      </c>
      <c r="J11" s="6" t="n">
        <v>448.912588363109</v>
      </c>
      <c r="K11" s="6" t="n">
        <v>846.337698142728</v>
      </c>
      <c r="L11" s="6" t="n">
        <v>606.025816100437</v>
      </c>
      <c r="M11" s="6" t="n">
        <v>428.524391453019</v>
      </c>
      <c r="N11" s="6" t="n">
        <v>824.072856775692</v>
      </c>
      <c r="O11" s="6" t="n">
        <f aca="false">S11*O21</f>
        <v>45154402.3874935</v>
      </c>
      <c r="P11" s="6" t="n">
        <f aca="false">S11*P21</f>
        <v>37925287.3242365</v>
      </c>
      <c r="Q11" s="6" t="n">
        <f aca="false">S11*Q21</f>
        <v>53815377.685227</v>
      </c>
      <c r="R11" s="6" t="n">
        <f aca="false">O11/C11</f>
        <v>21738.3909773053</v>
      </c>
      <c r="S11" s="6" t="n">
        <f aca="false">C11/C21</f>
        <v>0.0103268016825825</v>
      </c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112</v>
      </c>
      <c r="B12" s="5" t="s">
        <v>103</v>
      </c>
      <c r="C12" s="6" t="n">
        <v>841.96</v>
      </c>
      <c r="D12" s="6" t="n">
        <v>159.17</v>
      </c>
      <c r="E12" s="6" t="n">
        <v>2534.15</v>
      </c>
      <c r="F12" s="6" t="n">
        <v>1186.16</v>
      </c>
      <c r="G12" s="6" t="n">
        <v>130.69</v>
      </c>
      <c r="H12" s="6" t="n">
        <v>3226.77</v>
      </c>
      <c r="I12" s="6" t="n">
        <v>132.78</v>
      </c>
      <c r="J12" s="6" t="n">
        <v>55.61</v>
      </c>
      <c r="K12" s="6" t="n">
        <v>278.99</v>
      </c>
      <c r="L12" s="6" t="n">
        <v>168.52</v>
      </c>
      <c r="M12" s="6" t="n">
        <v>47.97</v>
      </c>
      <c r="N12" s="6" t="n">
        <v>374.4</v>
      </c>
      <c r="O12" s="6" t="n">
        <v>227890555.76</v>
      </c>
      <c r="P12" s="6" t="n">
        <v>163436246.87</v>
      </c>
      <c r="Q12" s="6" t="n">
        <v>304174800.409999</v>
      </c>
      <c r="R12" s="6" t="n">
        <f aca="false">O12/C12</f>
        <v>270666.724975058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112</v>
      </c>
      <c r="B13" s="5" t="s">
        <v>105</v>
      </c>
      <c r="C13" s="6" t="n">
        <v>11910.98</v>
      </c>
      <c r="D13" s="6" t="n">
        <v>4378.26</v>
      </c>
      <c r="E13" s="6" t="n">
        <v>21852.06</v>
      </c>
      <c r="F13" s="6" t="n">
        <v>12076.15</v>
      </c>
      <c r="G13" s="6" t="n">
        <v>4466.03</v>
      </c>
      <c r="H13" s="6" t="n">
        <v>22217.59</v>
      </c>
      <c r="I13" s="6" t="n">
        <v>2429.08</v>
      </c>
      <c r="J13" s="6" t="n">
        <v>1419.42</v>
      </c>
      <c r="K13" s="6" t="n">
        <v>3870.77</v>
      </c>
      <c r="L13" s="6" t="n">
        <v>2508.85</v>
      </c>
      <c r="M13" s="6" t="n">
        <v>1487.54</v>
      </c>
      <c r="N13" s="6" t="n">
        <v>3923.25</v>
      </c>
      <c r="O13" s="6" t="n">
        <f aca="false">S13*O21</f>
        <v>258925540.162864</v>
      </c>
      <c r="P13" s="6" t="n">
        <f aca="false">S13*P21</f>
        <v>217472161.894442</v>
      </c>
      <c r="Q13" s="6" t="n">
        <f aca="false">S13*Q21</f>
        <v>308589528.361809</v>
      </c>
      <c r="R13" s="6" t="n">
        <f aca="false">O13/C13</f>
        <v>21738.3909773053</v>
      </c>
      <c r="S13" s="6" t="n">
        <f aca="false">C13/C21</f>
        <v>0.0592162128704873</v>
      </c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112</v>
      </c>
      <c r="B14" s="5" t="s">
        <v>5</v>
      </c>
      <c r="C14" s="6" t="n">
        <v>120886.367071653</v>
      </c>
      <c r="D14" s="14"/>
      <c r="E14" s="14"/>
      <c r="F14" s="6" t="n">
        <v>80064.18042721</v>
      </c>
      <c r="G14" s="14"/>
      <c r="H14" s="14"/>
      <c r="I14" s="6" t="n">
        <v>4903.44721157525</v>
      </c>
      <c r="J14" s="14"/>
      <c r="K14" s="14"/>
      <c r="L14" s="6" t="n">
        <v>3346.11752525236</v>
      </c>
      <c r="M14" s="14"/>
      <c r="N14" s="14"/>
      <c r="O14" s="6" t="n">
        <f aca="false">S14*O22</f>
        <v>10066242.93059</v>
      </c>
      <c r="P14" s="6" t="n">
        <f aca="false">S14*P22</f>
        <v>8314096.9716352</v>
      </c>
      <c r="Q14" s="6" t="n">
        <f aca="false">S14*Q22</f>
        <v>12059141.9339868</v>
      </c>
      <c r="R14" s="6" t="n">
        <f aca="false">O14/C14</f>
        <v>83.2702907237125</v>
      </c>
      <c r="S14" s="6" t="n">
        <f aca="false">C14/C22</f>
        <v>0.128459989070268</v>
      </c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112</v>
      </c>
      <c r="B15" s="5" t="s">
        <v>114</v>
      </c>
      <c r="C15" s="6" t="n">
        <v>1472.99618174372</v>
      </c>
      <c r="D15" s="6" t="n">
        <v>1139.72484564063</v>
      </c>
      <c r="E15" s="6" t="n">
        <v>1835.34022247021</v>
      </c>
      <c r="F15" s="6" t="n">
        <v>1469.00123953863</v>
      </c>
      <c r="G15" s="6" t="n">
        <v>1146.31287583767</v>
      </c>
      <c r="H15" s="6" t="n">
        <v>1823.05871933821</v>
      </c>
      <c r="I15" s="6" t="n">
        <v>217.441971668911</v>
      </c>
      <c r="J15" s="6" t="n">
        <v>140.561138764551</v>
      </c>
      <c r="K15" s="6" t="n">
        <v>325.897780096667</v>
      </c>
      <c r="L15" s="6" t="n">
        <v>216.7998650557</v>
      </c>
      <c r="M15" s="6" t="n">
        <v>140.679182114694</v>
      </c>
      <c r="N15" s="6" t="n">
        <v>326.857066801076</v>
      </c>
      <c r="O15" s="6" t="n">
        <v>25601406.61</v>
      </c>
      <c r="P15" s="6" t="n">
        <v>21108853.17</v>
      </c>
      <c r="Q15" s="6" t="n">
        <v>30508066.3</v>
      </c>
      <c r="R15" s="6" t="n">
        <f aca="false">O15/C15</f>
        <v>17380.4976056987</v>
      </c>
      <c r="S15" s="6"/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112</v>
      </c>
      <c r="B16" s="5" t="s">
        <v>106</v>
      </c>
      <c r="C16" s="6" t="n">
        <v>1360.57</v>
      </c>
      <c r="D16" s="6" t="n">
        <v>1016.68</v>
      </c>
      <c r="E16" s="6" t="n">
        <v>1687.06</v>
      </c>
      <c r="F16" s="6" t="n">
        <v>1536.25</v>
      </c>
      <c r="G16" s="6" t="n">
        <v>1140.45</v>
      </c>
      <c r="H16" s="6" t="n">
        <v>1874.74</v>
      </c>
      <c r="I16" s="6" t="n">
        <v>126.15</v>
      </c>
      <c r="J16" s="6" t="n">
        <v>81.63</v>
      </c>
      <c r="K16" s="6" t="n">
        <v>180.15</v>
      </c>
      <c r="L16" s="6" t="n">
        <v>142.37</v>
      </c>
      <c r="M16" s="6" t="n">
        <v>87.97</v>
      </c>
      <c r="N16" s="6" t="n">
        <v>204.19</v>
      </c>
      <c r="O16" s="6" t="n">
        <v>43786395.86</v>
      </c>
      <c r="P16" s="6" t="n">
        <v>36144817.44</v>
      </c>
      <c r="Q16" s="6" t="n">
        <v>52015151.73</v>
      </c>
      <c r="R16" s="6" t="n">
        <f aca="false">O16/C16</f>
        <v>32182.3911007886</v>
      </c>
      <c r="S16" s="6"/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112</v>
      </c>
      <c r="B17" s="5" t="s">
        <v>41</v>
      </c>
      <c r="C17" s="6" t="n">
        <v>32385.4804596755</v>
      </c>
      <c r="D17" s="6" t="n">
        <v>27390.9006616009</v>
      </c>
      <c r="E17" s="6" t="n">
        <v>38065.6712977038</v>
      </c>
      <c r="F17" s="6" t="n">
        <v>31189.3921088597</v>
      </c>
      <c r="G17" s="6" t="n">
        <v>25682.4256311473</v>
      </c>
      <c r="H17" s="6" t="n">
        <v>37200.6678059764</v>
      </c>
      <c r="I17" s="6" t="n">
        <v>4393.99212932685</v>
      </c>
      <c r="J17" s="6" t="n">
        <v>3158.4321352461</v>
      </c>
      <c r="K17" s="6" t="n">
        <v>6085.28976652103</v>
      </c>
      <c r="L17" s="6" t="n">
        <v>4232.66266526023</v>
      </c>
      <c r="M17" s="6" t="n">
        <v>3048.38897263766</v>
      </c>
      <c r="N17" s="6" t="n">
        <v>5749.8696600358</v>
      </c>
      <c r="O17" s="6" t="n">
        <v>131341816.3</v>
      </c>
      <c r="P17" s="6" t="n">
        <v>108588158.82</v>
      </c>
      <c r="Q17" s="6" t="n">
        <v>155211126.65</v>
      </c>
      <c r="R17" s="6" t="n">
        <f aca="false">O17/C17</f>
        <v>4055.57720422086</v>
      </c>
      <c r="S17" s="6"/>
      <c r="T17" s="5" t="s">
        <v>95</v>
      </c>
      <c r="U17" s="5" t="s">
        <v>96</v>
      </c>
    </row>
    <row r="18" customFormat="false" ht="14.25" hidden="false" customHeight="true" outlineLevel="0" collapsed="false">
      <c r="A18" s="5" t="s">
        <v>112</v>
      </c>
      <c r="B18" s="5" t="s">
        <v>22</v>
      </c>
      <c r="C18" s="6" t="n">
        <v>662565.849112991</v>
      </c>
      <c r="D18" s="7" t="n">
        <v>578302.595006279</v>
      </c>
      <c r="E18" s="7" t="n">
        <v>746829.103219704</v>
      </c>
      <c r="F18" s="6" t="n">
        <v>637568.935879097</v>
      </c>
      <c r="G18" s="7" t="n">
        <v>552122.422876369</v>
      </c>
      <c r="H18" s="7" t="n">
        <v>723015.448881825</v>
      </c>
      <c r="I18" s="6" t="n">
        <f aca="false">I23-I5</f>
        <v>21748.4846178452</v>
      </c>
      <c r="J18" s="6" t="n">
        <f aca="false">J23-J5</f>
        <v>15900.0902171587</v>
      </c>
      <c r="K18" s="6" t="n">
        <f aca="false">K23-K5</f>
        <v>28519.8004310465</v>
      </c>
      <c r="L18" s="6" t="n">
        <f aca="false">L23-L5</f>
        <v>21315.68616903</v>
      </c>
      <c r="M18" s="6" t="n">
        <f aca="false">M23-M5</f>
        <v>15754.0824626324</v>
      </c>
      <c r="N18" s="6" t="n">
        <f aca="false">N23-N5</f>
        <v>27362.0551770915</v>
      </c>
      <c r="O18" s="14" t="n">
        <v>713869481.99</v>
      </c>
      <c r="P18" s="14" t="n">
        <v>608903344.28</v>
      </c>
      <c r="Q18" s="14" t="n">
        <v>825894894.76</v>
      </c>
      <c r="R18" s="6" t="n">
        <f aca="false">O18/C18</f>
        <v>1077.43174953205</v>
      </c>
      <c r="S18" s="6"/>
    </row>
    <row r="20" s="5" customFormat="true" ht="14.25" hidden="false" customHeight="true" outlineLevel="0" collapsed="false"/>
    <row r="21" s="5" customFormat="true" ht="14.25" hidden="false" customHeight="true" outlineLevel="0" collapsed="false">
      <c r="B21" s="5" t="s">
        <v>115</v>
      </c>
      <c r="C21" s="6" t="n">
        <v>201143.9</v>
      </c>
      <c r="D21" s="6" t="n">
        <v>180904.02</v>
      </c>
      <c r="E21" s="6" t="n">
        <v>219717.03</v>
      </c>
      <c r="F21" s="6" t="n">
        <v>201858.14</v>
      </c>
      <c r="G21" s="6" t="n">
        <v>179737.1</v>
      </c>
      <c r="H21" s="6" t="n">
        <v>222959.79</v>
      </c>
      <c r="I21" s="6" t="n">
        <v>21273.69</v>
      </c>
      <c r="J21" s="6" t="n">
        <v>14818.74</v>
      </c>
      <c r="K21" s="6" t="n">
        <v>27808.67</v>
      </c>
      <c r="L21" s="6" t="n">
        <v>21315.93</v>
      </c>
      <c r="M21" s="6" t="n">
        <v>14761.05</v>
      </c>
      <c r="N21" s="6" t="n">
        <v>27854.35</v>
      </c>
      <c r="O21" s="6" t="n">
        <v>4372544740.9</v>
      </c>
      <c r="P21" s="6" t="n">
        <v>3672510472.26</v>
      </c>
      <c r="Q21" s="6" t="n">
        <v>5211233772.02</v>
      </c>
      <c r="R21" s="6"/>
      <c r="S21" s="6"/>
    </row>
    <row r="22" s="5" customFormat="true" ht="14.25" hidden="false" customHeight="true" outlineLevel="0" collapsed="false">
      <c r="B22" s="6" t="s">
        <v>108</v>
      </c>
      <c r="C22" s="6" t="n">
        <v>941042.95</v>
      </c>
      <c r="D22" s="6" t="n">
        <v>831789.19</v>
      </c>
      <c r="E22" s="6" t="n">
        <v>1078110.96</v>
      </c>
      <c r="F22" s="6" t="n">
        <v>857226.84</v>
      </c>
      <c r="G22" s="6" t="n">
        <v>702786.4</v>
      </c>
      <c r="H22" s="6" t="n">
        <v>1056002.79</v>
      </c>
      <c r="I22" s="6" t="n">
        <v>23533.09</v>
      </c>
      <c r="J22" s="6" t="n">
        <v>15145.66</v>
      </c>
      <c r="K22" s="6" t="n">
        <v>36544.42</v>
      </c>
      <c r="L22" s="6" t="n">
        <v>21050.98</v>
      </c>
      <c r="M22" s="6" t="n">
        <v>12659.06</v>
      </c>
      <c r="N22" s="6" t="n">
        <v>32205.73</v>
      </c>
      <c r="O22" s="6" t="n">
        <v>78360920.03</v>
      </c>
      <c r="P22" s="6" t="n">
        <v>64721295.96</v>
      </c>
      <c r="Q22" s="6" t="n">
        <v>93874692.2</v>
      </c>
      <c r="R22" s="6"/>
      <c r="S22" s="6"/>
    </row>
    <row r="23" s="5" customFormat="true" ht="14.25" hidden="false" customHeight="true" outlineLevel="0" collapsed="false">
      <c r="B23" s="5" t="s">
        <v>109</v>
      </c>
      <c r="C23" s="6" t="n">
        <v>1163692.01919407</v>
      </c>
      <c r="D23" s="6" t="n">
        <v>981093.280920811</v>
      </c>
      <c r="E23" s="6" t="n">
        <v>1332549.19811312</v>
      </c>
      <c r="F23" s="6" t="n">
        <v>1199912.38406063</v>
      </c>
      <c r="G23" s="6" t="n">
        <v>1014154.2913046</v>
      </c>
      <c r="H23" s="6" t="n">
        <v>1381813.64571641</v>
      </c>
      <c r="I23" s="6" t="n">
        <v>39082.2173599882</v>
      </c>
      <c r="J23" s="6" t="n">
        <v>26970.8652624326</v>
      </c>
      <c r="K23" s="6" t="n">
        <v>53433.7177080772</v>
      </c>
      <c r="L23" s="6" t="n">
        <v>41207.9189631574</v>
      </c>
      <c r="M23" s="6" t="n">
        <v>28255.0101884321</v>
      </c>
      <c r="N23" s="6" t="n">
        <v>56148.3786356797</v>
      </c>
      <c r="O23" s="6" t="n">
        <f aca="false">O5+O18</f>
        <v>1551529392.09</v>
      </c>
      <c r="P23" s="6" t="n">
        <f aca="false">P5+P18</f>
        <v>1335972861.03</v>
      </c>
      <c r="Q23" s="6" t="n">
        <f aca="false">Q5+Q18</f>
        <v>1776885733.95</v>
      </c>
      <c r="R23" s="6"/>
      <c r="S23" s="6"/>
    </row>
    <row r="24" customFormat="false" ht="14.25" hidden="false" customHeight="true" outlineLevel="0" collapsed="false">
      <c r="B24" s="5" t="s">
        <v>116</v>
      </c>
      <c r="C24" s="5" t="n">
        <v>174657.909904351</v>
      </c>
      <c r="D24" s="5" t="n">
        <v>136185.14373918</v>
      </c>
      <c r="E24" s="5" t="n">
        <v>218735.713282114</v>
      </c>
      <c r="F24" s="5" t="n">
        <v>172747.843307145</v>
      </c>
      <c r="G24" s="5" t="n">
        <v>133093.861162681</v>
      </c>
      <c r="H24" s="5" t="n">
        <v>217269.474619863</v>
      </c>
      <c r="I24" s="5" t="n">
        <v>19184.3775345042</v>
      </c>
      <c r="J24" s="5" t="n">
        <v>13041.9523329052</v>
      </c>
      <c r="K24" s="5" t="n">
        <v>27873.2446936408</v>
      </c>
      <c r="L24" s="5" t="n">
        <v>18803.8646211431</v>
      </c>
      <c r="M24" s="5" t="n">
        <v>12632.1713396293</v>
      </c>
      <c r="N24" s="5" t="n">
        <v>27102.526725242</v>
      </c>
      <c r="O24" s="1" t="n">
        <v>918148069.96</v>
      </c>
      <c r="P24" s="1" t="n">
        <v>781721127.29</v>
      </c>
      <c r="Q24" s="1" t="n">
        <v>1049304358.86</v>
      </c>
      <c r="S24" s="5" t="n">
        <v>9</v>
      </c>
      <c r="T24" s="5" t="s">
        <v>95</v>
      </c>
      <c r="U24" s="5" t="s">
        <v>96</v>
      </c>
    </row>
    <row r="25" customFormat="false" ht="14.25" hidden="false" customHeight="true" outlineLevel="0" collapsed="false">
      <c r="C25" s="1" t="s">
        <v>117</v>
      </c>
      <c r="D25" s="1" t="n">
        <f aca="false">C5/C23</f>
        <v>0.36802058208143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0.56"/>
    <col collapsed="false" customWidth="true" hidden="false" outlineLevel="0" max="3" min="3" style="1" width="15.11"/>
    <col collapsed="false" customWidth="true" hidden="true" outlineLevel="0" max="5" min="4" style="1" width="10.56"/>
    <col collapsed="false" customWidth="true" hidden="true" outlineLevel="0" max="6" min="6" style="1" width="14.79"/>
    <col collapsed="false" customWidth="true" hidden="true" outlineLevel="0" max="8" min="7" style="1" width="10.56"/>
    <col collapsed="false" customWidth="true" hidden="true" outlineLevel="0" max="9" min="9" style="1" width="9.56"/>
    <col collapsed="false" customWidth="true" hidden="true" outlineLevel="0" max="10" min="10" style="1" width="9"/>
    <col collapsed="false" customWidth="true" hidden="true" outlineLevel="0" max="11" min="11" style="1" width="9.56"/>
    <col collapsed="false" customWidth="true" hidden="true" outlineLevel="0" max="12" min="12" style="1" width="9"/>
    <col collapsed="false" customWidth="true" hidden="true" outlineLevel="0" max="13" min="13" style="1" width="15.33"/>
    <col collapsed="false" customWidth="true" hidden="true" outlineLevel="0" max="14" min="14" style="1" width="9.56"/>
    <col collapsed="false" customWidth="true" hidden="false" outlineLevel="0" max="16" min="15" style="1" width="13.67"/>
    <col collapsed="false" customWidth="true" hidden="false" outlineLevel="0" max="17" min="17" style="1" width="28.56"/>
    <col collapsed="false" customWidth="true" hidden="false" outlineLevel="0" max="18" min="18" style="1" width="24.33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118</v>
      </c>
      <c r="B2" s="5" t="s">
        <v>94</v>
      </c>
      <c r="C2" s="6" t="n">
        <v>4390.70416812673</v>
      </c>
      <c r="D2" s="6" t="n">
        <v>2627.84396576481</v>
      </c>
      <c r="E2" s="6" t="n">
        <v>6675.51458267879</v>
      </c>
      <c r="F2" s="6" t="n">
        <v>4502.58310009583</v>
      </c>
      <c r="G2" s="6" t="n">
        <v>2695.72210636178</v>
      </c>
      <c r="H2" s="6" t="n">
        <v>7135.63951257709</v>
      </c>
      <c r="I2" s="6" t="n">
        <v>308.554380763092</v>
      </c>
      <c r="J2" s="6" t="n">
        <v>163.705626894888</v>
      </c>
      <c r="K2" s="6" t="n">
        <v>516.175445255828</v>
      </c>
      <c r="L2" s="6" t="n">
        <v>316.612542366859</v>
      </c>
      <c r="M2" s="6" t="n">
        <v>166.63572098796</v>
      </c>
      <c r="N2" s="6" t="n">
        <v>565.308552744077</v>
      </c>
      <c r="O2" s="6" t="n">
        <v>319705745.06</v>
      </c>
      <c r="P2" s="6" t="n">
        <v>271885195.5</v>
      </c>
      <c r="Q2" s="6" t="n">
        <v>369889889.02</v>
      </c>
      <c r="R2" s="6" t="n">
        <f aca="false">O2/C2</f>
        <v>72814.2304327464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118</v>
      </c>
      <c r="B3" s="5" t="s">
        <v>97</v>
      </c>
      <c r="C3" s="5" t="n">
        <v>46337.1066238983</v>
      </c>
      <c r="D3" s="5" t="n">
        <v>37778.448243137</v>
      </c>
      <c r="E3" s="5" t="n">
        <v>56903.5788892083</v>
      </c>
      <c r="F3" s="5" t="n">
        <v>44374.5313616808</v>
      </c>
      <c r="G3" s="5" t="n">
        <v>35303.8918563537</v>
      </c>
      <c r="H3" s="5" t="n">
        <v>55559.6902146481</v>
      </c>
      <c r="I3" s="5" t="n">
        <v>7082.89806984735</v>
      </c>
      <c r="J3" s="5" t="n">
        <v>4665.74858365511</v>
      </c>
      <c r="K3" s="5" t="n">
        <v>10071.1257652741</v>
      </c>
      <c r="L3" s="5" t="n">
        <v>6749.28910521789</v>
      </c>
      <c r="M3" s="5" t="n">
        <v>4386.06711591626</v>
      </c>
      <c r="N3" s="5" t="n">
        <v>9916.49768273163</v>
      </c>
      <c r="O3" s="6" t="n">
        <f aca="false">S3*O22</f>
        <v>892488477.370262</v>
      </c>
      <c r="P3" s="6" t="n">
        <f aca="false">S3*P22</f>
        <v>757200195.291176</v>
      </c>
      <c r="Q3" s="6" t="n">
        <f aca="false">S3*Q22</f>
        <v>1052245062.75125</v>
      </c>
      <c r="R3" s="6" t="n">
        <f aca="false">O3/C3</f>
        <v>19260.7726808295</v>
      </c>
      <c r="S3" s="6" t="n">
        <f aca="false">C3/C22</f>
        <v>0.275165769663071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118</v>
      </c>
      <c r="B4" s="5" t="s">
        <v>119</v>
      </c>
      <c r="C4" s="6" t="n">
        <v>88335.1944738997</v>
      </c>
      <c r="D4" s="6" t="n">
        <v>77415.7187488279</v>
      </c>
      <c r="E4" s="6" t="n">
        <v>105666.246034392</v>
      </c>
      <c r="F4" s="6" t="n">
        <v>88358.2764729566</v>
      </c>
      <c r="G4" s="6" t="n">
        <v>65161.5663115335</v>
      </c>
      <c r="H4" s="6" t="n">
        <v>126246.394699346</v>
      </c>
      <c r="I4" s="6" t="n">
        <v>4320.72505514591</v>
      </c>
      <c r="J4" s="6" t="n">
        <v>2705.43943144137</v>
      </c>
      <c r="K4" s="6" t="n">
        <v>6450.95312880166</v>
      </c>
      <c r="L4" s="6" t="n">
        <v>4307.25852826066</v>
      </c>
      <c r="M4" s="6" t="n">
        <v>2544.51732974046</v>
      </c>
      <c r="N4" s="6" t="n">
        <v>6623.62409252173</v>
      </c>
      <c r="O4" s="6" t="n">
        <v>878848611.85</v>
      </c>
      <c r="P4" s="6" t="n">
        <v>753323342.71</v>
      </c>
      <c r="Q4" s="6" t="n">
        <v>1013634704.62</v>
      </c>
      <c r="R4" s="6" t="n">
        <f aca="false">O4/C4</f>
        <v>9949.01994707979</v>
      </c>
      <c r="S4" s="6"/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118</v>
      </c>
      <c r="B5" s="5" t="s">
        <v>37</v>
      </c>
      <c r="C5" s="6" t="n">
        <v>11757.1013603458</v>
      </c>
      <c r="D5" s="6" t="n">
        <v>10454.3364218837</v>
      </c>
      <c r="E5" s="6" t="n">
        <v>13256.9430497741</v>
      </c>
      <c r="F5" s="6" t="n">
        <v>11533.2511398032</v>
      </c>
      <c r="G5" s="6" t="n">
        <v>9896.39445238117</v>
      </c>
      <c r="H5" s="6" t="n">
        <v>13329.7672559832</v>
      </c>
      <c r="I5" s="6" t="n">
        <v>1273.51280423537</v>
      </c>
      <c r="J5" s="6" t="n">
        <v>901.330736375759</v>
      </c>
      <c r="K5" s="6" t="n">
        <v>1714.74043967939</v>
      </c>
      <c r="L5" s="6" t="n">
        <v>1250.07897666336</v>
      </c>
      <c r="M5" s="6" t="n">
        <v>860.396937939489</v>
      </c>
      <c r="N5" s="6" t="n">
        <v>1672.4776554781</v>
      </c>
      <c r="O5" s="6" t="n">
        <f aca="false">S5*O22</f>
        <v>226450856.687091</v>
      </c>
      <c r="P5" s="6" t="n">
        <f aca="false">S5*P22</f>
        <v>192124197.9645</v>
      </c>
      <c r="Q5" s="6" t="n">
        <f aca="false">S5*Q22</f>
        <v>266985851.298479</v>
      </c>
      <c r="R5" s="6" t="n">
        <f aca="false">O5/C5</f>
        <v>19260.7726808295</v>
      </c>
      <c r="S5" s="6" t="n">
        <f aca="false">C5/C22</f>
        <v>0.0698177352998075</v>
      </c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118</v>
      </c>
      <c r="B6" s="5" t="s">
        <v>26</v>
      </c>
      <c r="C6" s="6" t="n">
        <v>774542.937492329</v>
      </c>
      <c r="D6" s="6" t="n">
        <v>568914.979879955</v>
      </c>
      <c r="E6" s="6" t="n">
        <v>999206.289692027</v>
      </c>
      <c r="F6" s="6" t="n">
        <v>874293.751940666</v>
      </c>
      <c r="G6" s="6" t="n">
        <v>640481.34798618</v>
      </c>
      <c r="H6" s="6" t="n">
        <v>1136967.07071834</v>
      </c>
      <c r="I6" s="6" t="n">
        <v>31411.9784575333</v>
      </c>
      <c r="J6" s="6" t="n">
        <v>19811.2699125463</v>
      </c>
      <c r="K6" s="6" t="n">
        <v>43886.0790000387</v>
      </c>
      <c r="L6" s="6" t="n">
        <v>35360.2494516855</v>
      </c>
      <c r="M6" s="6" t="n">
        <v>21758.3973584631</v>
      </c>
      <c r="N6" s="6" t="n">
        <v>49465.5947605387</v>
      </c>
      <c r="O6" s="6" t="n">
        <v>934839406.6</v>
      </c>
      <c r="P6" s="6" t="n">
        <v>818890128.17</v>
      </c>
      <c r="Q6" s="6" t="n">
        <v>1057065280.12</v>
      </c>
      <c r="R6" s="6" t="n">
        <f aca="false">O6/C6</f>
        <v>1206.95620778191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118</v>
      </c>
      <c r="B7" s="5" t="s">
        <v>22</v>
      </c>
      <c r="C7" s="6" t="n">
        <v>1138387.54272975</v>
      </c>
      <c r="D7" s="7" t="n">
        <v>1008833.90738013</v>
      </c>
      <c r="E7" s="7" t="n">
        <v>1267941.17807938</v>
      </c>
      <c r="F7" s="6" t="n">
        <v>1058940.51397894</v>
      </c>
      <c r="G7" s="7" t="n">
        <v>937521.200497971</v>
      </c>
      <c r="H7" s="7" t="n">
        <v>1180359.82745991</v>
      </c>
      <c r="I7" s="6" t="n">
        <f aca="false">I24-I6</f>
        <v>37354.4243997678</v>
      </c>
      <c r="J7" s="6" t="n">
        <f aca="false">J24-J6</f>
        <v>27340.3285947781</v>
      </c>
      <c r="K7" s="6" t="n">
        <f aca="false">K24-K6</f>
        <v>52350.97142944</v>
      </c>
      <c r="L7" s="6" t="n">
        <f aca="false">L24-L6</f>
        <v>35360.0488236521</v>
      </c>
      <c r="M7" s="6" t="n">
        <f aca="false">M24-M6</f>
        <v>27487.2622109691</v>
      </c>
      <c r="N7" s="6" t="n">
        <f aca="false">N24-N6</f>
        <v>48127.3761483068</v>
      </c>
      <c r="O7" s="6" t="n">
        <v>1416519347.31</v>
      </c>
      <c r="P7" s="6" t="n">
        <v>1230202970.62</v>
      </c>
      <c r="Q7" s="6" t="n">
        <v>1634063422.11</v>
      </c>
      <c r="R7" s="6" t="n">
        <f aca="false">O7/C7</f>
        <v>1244.32084342149</v>
      </c>
      <c r="S7" s="6"/>
    </row>
    <row r="8" s="5" customFormat="true" ht="14.25" hidden="false" customHeight="true" outlineLevel="0" collapsed="false">
      <c r="A8" s="5" t="s">
        <v>118</v>
      </c>
      <c r="B8" s="5" t="s">
        <v>120</v>
      </c>
      <c r="C8" s="6" t="n">
        <v>731440.130121723</v>
      </c>
      <c r="D8" s="6" t="n">
        <v>613126.635755447</v>
      </c>
      <c r="E8" s="6" t="n">
        <v>857423.051318624</v>
      </c>
      <c r="F8" s="6" t="n">
        <v>701622.562908917</v>
      </c>
      <c r="G8" s="6" t="n">
        <v>588696.859268805</v>
      </c>
      <c r="H8" s="6" t="n">
        <v>820726.665037396</v>
      </c>
      <c r="I8" s="6" t="n">
        <v>79496.7744386558</v>
      </c>
      <c r="J8" s="6" t="n">
        <v>51668.3753150035</v>
      </c>
      <c r="K8" s="6" t="n">
        <v>115381.499978801</v>
      </c>
      <c r="L8" s="6" t="n">
        <v>76152.0416433357</v>
      </c>
      <c r="M8" s="6" t="n">
        <v>50959.3260041039</v>
      </c>
      <c r="N8" s="6" t="n">
        <v>112035.326842799</v>
      </c>
      <c r="O8" s="6" t="n">
        <v>171150545.89</v>
      </c>
      <c r="P8" s="6" t="n">
        <v>146212954.19</v>
      </c>
      <c r="Q8" s="6" t="n">
        <v>196265856.7</v>
      </c>
      <c r="R8" s="6" t="n">
        <f aca="false">O8/C8</f>
        <v>233.991189219435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118</v>
      </c>
      <c r="B9" s="5" t="s">
        <v>98</v>
      </c>
      <c r="C9" s="6" t="n">
        <v>2904.04825660759</v>
      </c>
      <c r="D9" s="6" t="n">
        <v>2121.3533508626</v>
      </c>
      <c r="E9" s="6" t="n">
        <v>4253.3487473028</v>
      </c>
      <c r="F9" s="6" t="n">
        <v>3329.68050659293</v>
      </c>
      <c r="G9" s="6" t="n">
        <v>1949.76534478178</v>
      </c>
      <c r="H9" s="6" t="n">
        <v>5190.40926255132</v>
      </c>
      <c r="I9" s="6" t="n">
        <v>293.772801674669</v>
      </c>
      <c r="J9" s="6" t="n">
        <v>179.472080436574</v>
      </c>
      <c r="K9" s="6" t="n">
        <v>459.174124776284</v>
      </c>
      <c r="L9" s="6" t="n">
        <v>334.575928704954</v>
      </c>
      <c r="M9" s="6" t="n">
        <v>172.857392039845</v>
      </c>
      <c r="N9" s="6" t="n">
        <v>590.899511207958</v>
      </c>
      <c r="O9" s="6" t="n">
        <v>234382184.64</v>
      </c>
      <c r="P9" s="6" t="n">
        <v>201048701.05</v>
      </c>
      <c r="Q9" s="6" t="n">
        <v>269542065.09</v>
      </c>
      <c r="R9" s="6" t="n">
        <f aca="false">O9/C9</f>
        <v>80708.7775165958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118</v>
      </c>
      <c r="B10" s="6" t="s">
        <v>44</v>
      </c>
      <c r="C10" s="6" t="n">
        <v>991.917860994055</v>
      </c>
      <c r="D10" s="6" t="n">
        <v>853.920369505945</v>
      </c>
      <c r="E10" s="6" t="n">
        <v>1132.55644486598</v>
      </c>
      <c r="F10" s="6" t="n">
        <v>1013.66729613708</v>
      </c>
      <c r="G10" s="6" t="n">
        <v>858.910486850209</v>
      </c>
      <c r="H10" s="6" t="n">
        <v>1199.90997106716</v>
      </c>
      <c r="I10" s="6" t="n">
        <v>210.547788060156</v>
      </c>
      <c r="J10" s="6" t="n">
        <v>151.595091637474</v>
      </c>
      <c r="K10" s="6" t="n">
        <v>283.446849891139</v>
      </c>
      <c r="L10" s="6" t="n">
        <v>215.116761032889</v>
      </c>
      <c r="M10" s="6" t="n">
        <v>155.294651757651</v>
      </c>
      <c r="N10" s="6" t="n">
        <v>292.525349128313</v>
      </c>
      <c r="O10" s="6" t="n">
        <v>253581631.98</v>
      </c>
      <c r="P10" s="6" t="n">
        <v>208096200.69</v>
      </c>
      <c r="Q10" s="6" t="n">
        <v>305039750.04</v>
      </c>
      <c r="R10" s="6" t="n">
        <f aca="false">O10/C10</f>
        <v>255647.813142383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118</v>
      </c>
      <c r="B11" s="5" t="s">
        <v>12</v>
      </c>
      <c r="C11" s="6" t="n">
        <v>681.852851306023</v>
      </c>
      <c r="D11" s="6" t="n">
        <v>471.103280160129</v>
      </c>
      <c r="E11" s="6" t="n">
        <v>944.540421804384</v>
      </c>
      <c r="F11" s="6" t="n">
        <v>660.697198739837</v>
      </c>
      <c r="G11" s="6" t="n">
        <v>460.769895214631</v>
      </c>
      <c r="H11" s="6" t="n">
        <v>924.375530400712</v>
      </c>
      <c r="I11" s="6" t="n">
        <v>191.826098113749</v>
      </c>
      <c r="J11" s="6" t="n">
        <v>113.193940392685</v>
      </c>
      <c r="K11" s="6" t="n">
        <v>292.844852121358</v>
      </c>
      <c r="L11" s="6" t="n">
        <v>185.86960078491</v>
      </c>
      <c r="M11" s="6" t="n">
        <v>110.243866755987</v>
      </c>
      <c r="N11" s="6" t="n">
        <v>283.463408897345</v>
      </c>
      <c r="O11" s="6" t="n">
        <v>12159696.5</v>
      </c>
      <c r="P11" s="6" t="n">
        <v>9440350.26</v>
      </c>
      <c r="Q11" s="6" t="n">
        <v>15478540.05</v>
      </c>
      <c r="R11" s="6" t="n">
        <f aca="false">O11/C11</f>
        <v>17833.3147345637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118</v>
      </c>
      <c r="B12" s="5" t="s">
        <v>113</v>
      </c>
      <c r="C12" s="6" t="n">
        <v>166509.583923633</v>
      </c>
      <c r="D12" s="6" t="n">
        <v>91165.3617901464</v>
      </c>
      <c r="E12" s="6" t="n">
        <v>267921.955293988</v>
      </c>
      <c r="F12" s="6" t="n">
        <v>161951.021069494</v>
      </c>
      <c r="G12" s="6" t="n">
        <v>89601.2519644889</v>
      </c>
      <c r="H12" s="6" t="n">
        <v>263332.132340432</v>
      </c>
      <c r="I12" s="6" t="n">
        <v>17364.9838515911</v>
      </c>
      <c r="J12" s="6" t="n">
        <v>7926.35727873041</v>
      </c>
      <c r="K12" s="6" t="n">
        <v>29538.6873447667</v>
      </c>
      <c r="L12" s="6" t="n">
        <v>16828.0008319686</v>
      </c>
      <c r="M12" s="6" t="n">
        <v>7702.22122697202</v>
      </c>
      <c r="N12" s="6" t="n">
        <v>28917.0909536578</v>
      </c>
      <c r="O12" s="6" t="n">
        <v>152764702.69</v>
      </c>
      <c r="P12" s="6" t="n">
        <v>126633842.19</v>
      </c>
      <c r="Q12" s="6" t="n">
        <v>180367646.27</v>
      </c>
      <c r="R12" s="6" t="n">
        <f aca="false">O12/C12</f>
        <v>917.452912260373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118</v>
      </c>
      <c r="B13" s="5" t="s">
        <v>102</v>
      </c>
      <c r="C13" s="6" t="n">
        <v>2193.86002625008</v>
      </c>
      <c r="D13" s="6" t="n">
        <v>1861.46415986231</v>
      </c>
      <c r="E13" s="6" t="n">
        <v>2543.72690437369</v>
      </c>
      <c r="F13" s="6" t="n">
        <v>2045.86876000969</v>
      </c>
      <c r="G13" s="6" t="n">
        <v>1713.52353177468</v>
      </c>
      <c r="H13" s="6" t="n">
        <v>2441.49767020784</v>
      </c>
      <c r="I13" s="6" t="n">
        <v>669.096389479271</v>
      </c>
      <c r="J13" s="6" t="n">
        <v>475.319297595239</v>
      </c>
      <c r="K13" s="6" t="n">
        <v>892.163438693268</v>
      </c>
      <c r="L13" s="6" t="n">
        <v>624.48756470754</v>
      </c>
      <c r="M13" s="6" t="n">
        <v>438.091319572881</v>
      </c>
      <c r="N13" s="6" t="n">
        <v>849.309154139276</v>
      </c>
      <c r="O13" s="6" t="n">
        <f aca="false">S13*O22</f>
        <v>42255439.2591614</v>
      </c>
      <c r="P13" s="6" t="n">
        <f aca="false">S13*P22</f>
        <v>35850128.7920577</v>
      </c>
      <c r="Q13" s="6" t="n">
        <f aca="false">S13*Q22</f>
        <v>49819217.2361141</v>
      </c>
      <c r="R13" s="6" t="n">
        <f aca="false">O13/C13</f>
        <v>19260.7726808295</v>
      </c>
      <c r="S13" s="6" t="n">
        <f aca="false">C13/C22</f>
        <v>0.0130278998116124</v>
      </c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118</v>
      </c>
      <c r="B14" s="5" t="s">
        <v>105</v>
      </c>
      <c r="C14" s="6" t="n">
        <v>12737.42</v>
      </c>
      <c r="D14" s="6" t="n">
        <v>4682.12</v>
      </c>
      <c r="E14" s="6" t="n">
        <v>23367.12</v>
      </c>
      <c r="F14" s="6" t="n">
        <v>12570.99</v>
      </c>
      <c r="G14" s="6" t="n">
        <v>4648.71</v>
      </c>
      <c r="H14" s="6" t="n">
        <v>23124.94</v>
      </c>
      <c r="I14" s="6" t="n">
        <v>1947.9</v>
      </c>
      <c r="J14" s="6" t="n">
        <v>1019.06</v>
      </c>
      <c r="K14" s="6" t="n">
        <v>3172.39</v>
      </c>
      <c r="L14" s="6" t="n">
        <v>1968.85</v>
      </c>
      <c r="M14" s="6" t="n">
        <v>1047.72</v>
      </c>
      <c r="N14" s="6" t="n">
        <v>3223.49</v>
      </c>
      <c r="O14" s="6" t="n">
        <f aca="false">O22*S14</f>
        <v>245332551.160251</v>
      </c>
      <c r="P14" s="6" t="n">
        <f aca="false">P22*S14</f>
        <v>208143701.97494</v>
      </c>
      <c r="Q14" s="6" t="n">
        <f aca="false">Q22*S14</f>
        <v>289247393.368245</v>
      </c>
      <c r="R14" s="6" t="n">
        <f aca="false">O14/C14</f>
        <v>19260.7726808295</v>
      </c>
      <c r="S14" s="6" t="n">
        <f aca="false">C14/C22</f>
        <v>0.0756392065277149</v>
      </c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118</v>
      </c>
      <c r="B15" s="5" t="s">
        <v>110</v>
      </c>
      <c r="C15" s="6" t="n">
        <v>692488.921379029</v>
      </c>
      <c r="D15" s="6" t="n">
        <v>617671.565377469</v>
      </c>
      <c r="E15" s="6" t="n">
        <v>780424.545441537</v>
      </c>
      <c r="F15" s="6" t="n">
        <v>667574.240927307</v>
      </c>
      <c r="G15" s="6" t="n">
        <v>594037.143545849</v>
      </c>
      <c r="H15" s="6" t="n">
        <v>754072.34057733</v>
      </c>
      <c r="I15" s="6" t="n">
        <v>63811.1215396338</v>
      </c>
      <c r="J15" s="6" t="n">
        <v>43152.3019555748</v>
      </c>
      <c r="K15" s="6" t="n">
        <v>87861.0517063285</v>
      </c>
      <c r="L15" s="6" t="n">
        <v>61375.3829506305</v>
      </c>
      <c r="M15" s="6" t="n">
        <v>41870.7585476325</v>
      </c>
      <c r="N15" s="6" t="n">
        <v>84520.0049550397</v>
      </c>
      <c r="O15" s="6"/>
      <c r="P15" s="6"/>
      <c r="Q15" s="6"/>
      <c r="R15" s="6"/>
      <c r="S15" s="6"/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118</v>
      </c>
      <c r="B16" s="5" t="s">
        <v>5</v>
      </c>
      <c r="C16" s="6" t="n">
        <v>135347.588913405</v>
      </c>
      <c r="D16" s="14"/>
      <c r="E16" s="14"/>
      <c r="F16" s="6" t="n">
        <v>89801.81538</v>
      </c>
      <c r="G16" s="14"/>
      <c r="H16" s="14"/>
      <c r="I16" s="6" t="n">
        <v>5442.44731230734</v>
      </c>
      <c r="J16" s="14"/>
      <c r="K16" s="14"/>
      <c r="L16" s="6" t="n">
        <v>3715.95256836369</v>
      </c>
      <c r="M16" s="14"/>
      <c r="N16" s="14"/>
      <c r="O16" s="6" t="n">
        <f aca="false">S16*O23</f>
        <v>11922212.2389089</v>
      </c>
      <c r="P16" s="6" t="n">
        <f aca="false">S16*P23</f>
        <v>10071595.0001952</v>
      </c>
      <c r="Q16" s="6" t="n">
        <f aca="false">S16*Q23</f>
        <v>14052608.5093874</v>
      </c>
      <c r="R16" s="6" t="n">
        <f aca="false">O16/C16</f>
        <v>88.0858856417211</v>
      </c>
      <c r="S16" s="6" t="n">
        <f aca="false">C16/C23</f>
        <v>0.0925853188147972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118</v>
      </c>
      <c r="B17" s="5" t="s">
        <v>114</v>
      </c>
      <c r="C17" s="6" t="n">
        <v>8595.43939133182</v>
      </c>
      <c r="D17" s="6" t="n">
        <v>6830.33270475677</v>
      </c>
      <c r="E17" s="6" t="n">
        <v>10596.3973737401</v>
      </c>
      <c r="F17" s="6" t="n">
        <v>8333.30830718114</v>
      </c>
      <c r="G17" s="6" t="n">
        <v>6673.01214309639</v>
      </c>
      <c r="H17" s="6" t="n">
        <v>10263.6504613896</v>
      </c>
      <c r="I17" s="6" t="n">
        <v>1254.18248534793</v>
      </c>
      <c r="J17" s="6" t="n">
        <v>794.882014183387</v>
      </c>
      <c r="K17" s="6" t="n">
        <v>1880.68117869722</v>
      </c>
      <c r="L17" s="6" t="n">
        <v>1220.25761580084</v>
      </c>
      <c r="M17" s="6" t="n">
        <v>794.331959948133</v>
      </c>
      <c r="N17" s="6" t="n">
        <v>1795.03765498786</v>
      </c>
      <c r="O17" s="6" t="n">
        <v>56586437.69</v>
      </c>
      <c r="P17" s="6" t="n">
        <v>47867923.63</v>
      </c>
      <c r="Q17" s="6" t="n">
        <v>66258100.16</v>
      </c>
      <c r="R17" s="6" t="n">
        <f aca="false">O17/C17</f>
        <v>6583.309487013</v>
      </c>
      <c r="S17" s="6"/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118</v>
      </c>
      <c r="B18" s="5" t="s">
        <v>106</v>
      </c>
      <c r="C18" s="6" t="n">
        <v>2286.85</v>
      </c>
      <c r="D18" s="6" t="n">
        <v>1667.53</v>
      </c>
      <c r="E18" s="6" t="n">
        <v>2830.32</v>
      </c>
      <c r="F18" s="6" t="n">
        <v>2640.92</v>
      </c>
      <c r="G18" s="6" t="n">
        <v>1977.81</v>
      </c>
      <c r="H18" s="6" t="n">
        <v>3241.62</v>
      </c>
      <c r="I18" s="6" t="n">
        <v>217.2</v>
      </c>
      <c r="J18" s="6" t="n">
        <v>133.53</v>
      </c>
      <c r="K18" s="6" t="n">
        <v>297.69</v>
      </c>
      <c r="L18" s="6" t="n">
        <v>249.97</v>
      </c>
      <c r="M18" s="6" t="n">
        <v>166.83</v>
      </c>
      <c r="N18" s="6" t="n">
        <v>343.87</v>
      </c>
      <c r="O18" s="6" t="n">
        <v>55551084.94</v>
      </c>
      <c r="P18" s="6" t="n">
        <v>45175639.59</v>
      </c>
      <c r="Q18" s="6" t="n">
        <v>65173736.92</v>
      </c>
      <c r="R18" s="6" t="n">
        <f aca="false">O18/C18</f>
        <v>24291.529807377</v>
      </c>
      <c r="S18" s="6"/>
      <c r="T18" s="5" t="s">
        <v>95</v>
      </c>
      <c r="U18" s="5" t="s">
        <v>96</v>
      </c>
    </row>
    <row r="19" customFormat="false" ht="14.25" hidden="false" customHeight="true" outlineLevel="0" collapsed="false">
      <c r="A19" s="5" t="s">
        <v>118</v>
      </c>
      <c r="B19" s="5" t="s">
        <v>41</v>
      </c>
      <c r="C19" s="6" t="n">
        <v>53105.8651385512</v>
      </c>
      <c r="D19" s="6" t="n">
        <v>45347.6537929623</v>
      </c>
      <c r="E19" s="6" t="n">
        <v>62045.6461901925</v>
      </c>
      <c r="F19" s="6" t="n">
        <v>49275.6075848318</v>
      </c>
      <c r="G19" s="6" t="n">
        <v>41133.2136434715</v>
      </c>
      <c r="H19" s="6" t="n">
        <v>58342.8200267678</v>
      </c>
      <c r="I19" s="6" t="n">
        <v>7179.6875312242</v>
      </c>
      <c r="J19" s="6" t="n">
        <v>5163.67071594415</v>
      </c>
      <c r="K19" s="6" t="n">
        <v>9734.35584926902</v>
      </c>
      <c r="L19" s="6" t="n">
        <v>6629.7108396166</v>
      </c>
      <c r="M19" s="6" t="n">
        <v>4709.41134655335</v>
      </c>
      <c r="N19" s="6" t="n">
        <v>9017.89658786513</v>
      </c>
      <c r="O19" s="6" t="n">
        <v>168376794.29</v>
      </c>
      <c r="P19" s="6" t="n">
        <v>141210868.9</v>
      </c>
      <c r="Q19" s="6" t="n">
        <v>201893845.09</v>
      </c>
      <c r="R19" s="6" t="n">
        <f aca="false">O19/C19</f>
        <v>3170.58753963825</v>
      </c>
      <c r="S19" s="6"/>
      <c r="T19" s="5" t="s">
        <v>95</v>
      </c>
      <c r="U19" s="5" t="s">
        <v>96</v>
      </c>
    </row>
    <row r="20" customFormat="false" ht="14.25" hidden="false" customHeight="true" outlineLevel="0" collapsed="false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6"/>
      <c r="S20" s="12"/>
    </row>
    <row r="21" s="5" customFormat="true" ht="14.25" hidden="false" customHeight="true" outlineLevel="0" collapsed="false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6"/>
      <c r="S21" s="12"/>
    </row>
    <row r="22" s="5" customFormat="true" ht="14.25" hidden="false" customHeight="true" outlineLevel="0" collapsed="false">
      <c r="B22" s="5" t="s">
        <v>107</v>
      </c>
      <c r="C22" s="6" t="n">
        <v>168397.06</v>
      </c>
      <c r="D22" s="6" t="n">
        <v>154312.67</v>
      </c>
      <c r="E22" s="6" t="n">
        <v>183855.75</v>
      </c>
      <c r="F22" s="6" t="n">
        <v>165572.92</v>
      </c>
      <c r="G22" s="6" t="n">
        <v>149339.47</v>
      </c>
      <c r="H22" s="6" t="n">
        <v>181648.95</v>
      </c>
      <c r="I22" s="6" t="n">
        <v>17818.91</v>
      </c>
      <c r="J22" s="6" t="n">
        <v>12745.3</v>
      </c>
      <c r="K22" s="6" t="n">
        <v>23365.78</v>
      </c>
      <c r="L22" s="6" t="n">
        <v>17448.12</v>
      </c>
      <c r="M22" s="6" t="n">
        <v>12624.43</v>
      </c>
      <c r="N22" s="6" t="n">
        <v>23013.49</v>
      </c>
      <c r="O22" s="6" t="n">
        <v>3243457492.78</v>
      </c>
      <c r="P22" s="6" t="n">
        <v>2751796476.06</v>
      </c>
      <c r="Q22" s="6" t="n">
        <v>3824040555.77</v>
      </c>
      <c r="R22" s="6" t="n">
        <f aca="false">O22/C22</f>
        <v>19260.7726808295</v>
      </c>
      <c r="S22" s="6"/>
    </row>
    <row r="23" s="5" customFormat="true" ht="14.25" hidden="false" customHeight="true" outlineLevel="0" collapsed="false">
      <c r="B23" s="5" t="s">
        <v>108</v>
      </c>
      <c r="C23" s="6" t="n">
        <v>1461868.8</v>
      </c>
      <c r="D23" s="6" t="n">
        <v>1307970.65</v>
      </c>
      <c r="E23" s="6" t="n">
        <v>1705689.27</v>
      </c>
      <c r="F23" s="6" t="n">
        <v>1321767.28</v>
      </c>
      <c r="G23" s="6" t="n">
        <v>1085216.32</v>
      </c>
      <c r="H23" s="6" t="n">
        <v>1569062.11</v>
      </c>
      <c r="I23" s="6" t="n">
        <v>26056.64</v>
      </c>
      <c r="J23" s="6" t="n">
        <v>15846.3</v>
      </c>
      <c r="K23" s="6" t="n">
        <v>40731.57</v>
      </c>
      <c r="L23" s="6" t="n">
        <v>22784.54</v>
      </c>
      <c r="M23" s="6" t="n">
        <v>13475.09</v>
      </c>
      <c r="N23" s="6" t="n">
        <v>36212.5</v>
      </c>
      <c r="O23" s="6" t="n">
        <v>128770007.94</v>
      </c>
      <c r="P23" s="6" t="n">
        <v>108781771.55</v>
      </c>
      <c r="Q23" s="6" t="n">
        <v>151780095.26</v>
      </c>
      <c r="R23" s="6" t="n">
        <f aca="false">O23/C23</f>
        <v>88.0858856417211</v>
      </c>
      <c r="S23" s="6"/>
    </row>
    <row r="24" customFormat="false" ht="14.25" hidden="false" customHeight="true" outlineLevel="0" collapsed="false">
      <c r="B24" s="5" t="s">
        <v>109</v>
      </c>
      <c r="C24" s="5" t="n">
        <v>2109254.89007245</v>
      </c>
      <c r="D24" s="5" t="n">
        <v>1801694.98858977</v>
      </c>
      <c r="E24" s="5" t="n">
        <v>2399709.79639123</v>
      </c>
      <c r="F24" s="5" t="n">
        <v>2116505.45552879</v>
      </c>
      <c r="G24" s="5" t="n">
        <v>1807504.54753174</v>
      </c>
      <c r="H24" s="5" t="n">
        <v>2432000.3777725</v>
      </c>
      <c r="I24" s="5" t="n">
        <v>68766.4028573011</v>
      </c>
      <c r="J24" s="5" t="n">
        <v>47151.5985073244</v>
      </c>
      <c r="K24" s="5" t="n">
        <v>96237.0504294787</v>
      </c>
      <c r="L24" s="5" t="n">
        <v>70720.2982753376</v>
      </c>
      <c r="M24" s="5" t="n">
        <v>49245.6595694322</v>
      </c>
      <c r="N24" s="5" t="n">
        <v>97592.9709088455</v>
      </c>
      <c r="O24" s="6" t="n">
        <f aca="false">O6+O7</f>
        <v>2351358753.91</v>
      </c>
      <c r="P24" s="6" t="n">
        <f aca="false">P6+P7</f>
        <v>2049093098.79</v>
      </c>
      <c r="Q24" s="6" t="n">
        <f aca="false">Q6+Q7</f>
        <v>2691128702.23</v>
      </c>
      <c r="R24" s="6" t="n">
        <f aca="false">O24/C24</f>
        <v>1114.78170086368</v>
      </c>
    </row>
    <row r="25" customFormat="false" ht="14.25" hidden="false" customHeight="true" outlineLevel="0" collapsed="false">
      <c r="R25" s="6"/>
    </row>
    <row r="26" customFormat="false" ht="14.25" hidden="false" customHeight="true" outlineLevel="0" collapsed="false">
      <c r="C26" s="1" t="s">
        <v>117</v>
      </c>
      <c r="D26" s="1" t="n">
        <f aca="false">C6/C24</f>
        <v>0.367211635321004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8.88"/>
    <col collapsed="false" customWidth="true" hidden="false" outlineLevel="0" max="4" min="3" style="1" width="10.56"/>
    <col collapsed="false" customWidth="true" hidden="false" outlineLevel="0" max="5" min="5" style="1" width="1.22"/>
    <col collapsed="false" customWidth="true" hidden="true" outlineLevel="0" max="6" min="6" style="1" width="16.56"/>
    <col collapsed="false" customWidth="true" hidden="true" outlineLevel="0" max="9" min="7" style="1" width="10.56"/>
    <col collapsed="false" customWidth="true" hidden="true" outlineLevel="0" max="11" min="10" style="1" width="9.56"/>
    <col collapsed="false" customWidth="true" hidden="true" outlineLevel="0" max="12" min="12" style="1" width="13.11"/>
    <col collapsed="false" customWidth="true" hidden="true" outlineLevel="0" max="13" min="13" style="1" width="9.56"/>
    <col collapsed="false" customWidth="true" hidden="true" outlineLevel="0" max="14" min="14" style="1" width="18.88"/>
    <col collapsed="false" customWidth="true" hidden="false" outlineLevel="0" max="17" min="15" style="1" width="13.67"/>
    <col collapsed="false" customWidth="true" hidden="false" outlineLevel="0" max="18" min="18" style="1" width="16.11"/>
    <col collapsed="false" customWidth="true" hidden="false" outlineLevel="0" max="19" min="19" style="1" width="17.56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121</v>
      </c>
      <c r="B2" s="5" t="s">
        <v>94</v>
      </c>
      <c r="C2" s="6" t="n">
        <v>3649.86762832176</v>
      </c>
      <c r="D2" s="6" t="n">
        <v>1992.36070780546</v>
      </c>
      <c r="E2" s="6" t="n">
        <v>5760.15676099923</v>
      </c>
      <c r="F2" s="6" t="n">
        <v>3757.12867061667</v>
      </c>
      <c r="G2" s="6" t="n">
        <v>2022.57096427084</v>
      </c>
      <c r="H2" s="6" t="n">
        <v>6203.40139977351</v>
      </c>
      <c r="I2" s="6" t="n">
        <v>257.927934497115</v>
      </c>
      <c r="J2" s="6" t="n">
        <v>126.416654243618</v>
      </c>
      <c r="K2" s="6" t="n">
        <v>444.046312014561</v>
      </c>
      <c r="L2" s="6" t="n">
        <v>260.58178198479</v>
      </c>
      <c r="M2" s="6" t="n">
        <v>120.68923099396</v>
      </c>
      <c r="N2" s="6" t="n">
        <v>478.43019452784</v>
      </c>
      <c r="O2" s="6" t="n">
        <v>181662758.79</v>
      </c>
      <c r="P2" s="6" t="n">
        <v>152761483.7</v>
      </c>
      <c r="Q2" s="6" t="n">
        <v>212528977.38</v>
      </c>
      <c r="R2" s="6" t="n">
        <f aca="false">O2/C2</f>
        <v>49772.4239039129</v>
      </c>
      <c r="S2" s="6"/>
    </row>
    <row r="3" s="5" customFormat="true" ht="14.25" hidden="false" customHeight="true" outlineLevel="0" collapsed="false">
      <c r="A3" s="5" t="s">
        <v>121</v>
      </c>
      <c r="B3" s="5" t="s">
        <v>97</v>
      </c>
      <c r="C3" s="6" t="n">
        <v>43055.9337660031</v>
      </c>
      <c r="D3" s="6" t="n">
        <v>35195.9314731503</v>
      </c>
      <c r="E3" s="6" t="n">
        <v>52252.283037637</v>
      </c>
      <c r="F3" s="6" t="n">
        <v>43577.3834652148</v>
      </c>
      <c r="G3" s="6" t="n">
        <v>34822.7273007505</v>
      </c>
      <c r="H3" s="6" t="n">
        <v>54430.9261711647</v>
      </c>
      <c r="I3" s="6" t="n">
        <v>6462.15798426581</v>
      </c>
      <c r="J3" s="6" t="n">
        <v>4283.89486756332</v>
      </c>
      <c r="K3" s="6" t="n">
        <v>9225.55049610976</v>
      </c>
      <c r="L3" s="6" t="n">
        <v>6519.1081362227</v>
      </c>
      <c r="M3" s="6" t="n">
        <v>4231.109229287</v>
      </c>
      <c r="N3" s="6" t="n">
        <v>9408.86804435388</v>
      </c>
      <c r="O3" s="6" t="n">
        <f aca="false">S3*O22</f>
        <v>589581903.033669</v>
      </c>
      <c r="P3" s="6" t="n">
        <f aca="false">S3*P22</f>
        <v>488973337.581509</v>
      </c>
      <c r="Q3" s="6" t="n">
        <f aca="false">S3*Q22</f>
        <v>708755452.897027</v>
      </c>
      <c r="R3" s="6" t="n">
        <f aca="false">O3/C3</f>
        <v>13693.3948811302</v>
      </c>
      <c r="S3" s="6" t="n">
        <f aca="false">C3/C22</f>
        <v>0.282262991197776</v>
      </c>
    </row>
    <row r="4" s="5" customFormat="true" ht="14.25" hidden="false" customHeight="true" outlineLevel="0" collapsed="false">
      <c r="A4" s="5" t="s">
        <v>121</v>
      </c>
      <c r="B4" s="5" t="s">
        <v>119</v>
      </c>
      <c r="C4" s="6" t="n">
        <v>112005.042944949</v>
      </c>
      <c r="D4" s="6" t="n">
        <v>100782.924631095</v>
      </c>
      <c r="E4" s="6" t="n">
        <v>124796.565919772</v>
      </c>
      <c r="F4" s="6" t="n">
        <v>108918.368256184</v>
      </c>
      <c r="G4" s="6" t="n">
        <v>91369.3901786668</v>
      </c>
      <c r="H4" s="6" t="n">
        <v>133592.540405126</v>
      </c>
      <c r="I4" s="6" t="n">
        <v>5572.08979192911</v>
      </c>
      <c r="J4" s="6" t="n">
        <v>3461.14929587098</v>
      </c>
      <c r="K4" s="6" t="n">
        <v>8322.1148463285</v>
      </c>
      <c r="L4" s="6" t="n">
        <v>5421.5783800258</v>
      </c>
      <c r="M4" s="6" t="n">
        <v>3344.41546660161</v>
      </c>
      <c r="N4" s="6" t="n">
        <v>8459.18043676066</v>
      </c>
      <c r="O4" s="6" t="n">
        <v>1021334688.04</v>
      </c>
      <c r="P4" s="6" t="n">
        <v>880651358.25</v>
      </c>
      <c r="Q4" s="6" t="n">
        <v>1181547563.61</v>
      </c>
      <c r="R4" s="6" t="n">
        <f aca="false">O4/C4</f>
        <v>9118.64913566428</v>
      </c>
      <c r="S4" s="6"/>
    </row>
    <row r="5" s="5" customFormat="true" ht="14.25" hidden="false" customHeight="true" outlineLevel="0" collapsed="false">
      <c r="A5" s="5" t="s">
        <v>121</v>
      </c>
      <c r="B5" s="5" t="s">
        <v>122</v>
      </c>
      <c r="C5" s="6" t="n">
        <v>90231.682497384</v>
      </c>
      <c r="D5" s="6" t="n">
        <v>62330.1853841834</v>
      </c>
      <c r="E5" s="6" t="n">
        <v>120844.905401336</v>
      </c>
      <c r="F5" s="6" t="n">
        <v>127894.3047897</v>
      </c>
      <c r="G5" s="6" t="n">
        <v>87864.6859687882</v>
      </c>
      <c r="H5" s="6" t="n">
        <v>174107.361443878</v>
      </c>
      <c r="I5" s="6" t="n">
        <v>4515.60362670931</v>
      </c>
      <c r="J5" s="6" t="n">
        <v>2501.27413094095</v>
      </c>
      <c r="K5" s="6" t="n">
        <v>7352.6779296988</v>
      </c>
      <c r="L5" s="6" t="n">
        <v>6358.78409680234</v>
      </c>
      <c r="M5" s="6" t="n">
        <v>3384.35632690182</v>
      </c>
      <c r="N5" s="6" t="n">
        <v>10477.272454835</v>
      </c>
      <c r="O5" s="6" t="n">
        <v>313997084.4</v>
      </c>
      <c r="P5" s="6" t="n">
        <v>267416920.14</v>
      </c>
      <c r="Q5" s="6" t="n">
        <v>366830333.37</v>
      </c>
      <c r="R5" s="6" t="n">
        <f aca="false">O5/C5</f>
        <v>3479.89836506821</v>
      </c>
      <c r="S5" s="6"/>
    </row>
    <row r="6" s="5" customFormat="true" ht="14.25" hidden="false" customHeight="true" outlineLevel="0" collapsed="false">
      <c r="A6" s="5" t="s">
        <v>121</v>
      </c>
      <c r="B6" s="5" t="s">
        <v>37</v>
      </c>
      <c r="C6" s="6" t="n">
        <v>11569.5936733305</v>
      </c>
      <c r="D6" s="6" t="n">
        <v>10285.3959407409</v>
      </c>
      <c r="E6" s="6" t="n">
        <v>13047.3028609704</v>
      </c>
      <c r="F6" s="6" t="n">
        <v>12057.2643104757</v>
      </c>
      <c r="G6" s="6" t="n">
        <v>10351.7236137174</v>
      </c>
      <c r="H6" s="6" t="n">
        <v>13940.4828224506</v>
      </c>
      <c r="I6" s="6" t="n">
        <v>1252.69537997641</v>
      </c>
      <c r="J6" s="6" t="n">
        <v>886.360371985954</v>
      </c>
      <c r="K6" s="6" t="n">
        <v>1683.50182298888</v>
      </c>
      <c r="L6" s="6" t="n">
        <v>1305.26809710502</v>
      </c>
      <c r="M6" s="6" t="n">
        <v>900.172395142192</v>
      </c>
      <c r="N6" s="6" t="n">
        <v>1742.06117994749</v>
      </c>
      <c r="O6" s="6" t="n">
        <f aca="false">S6*O22</f>
        <v>158427014.783141</v>
      </c>
      <c r="P6" s="6" t="n">
        <f aca="false">S6*P22</f>
        <v>131392408.388023</v>
      </c>
      <c r="Q6" s="6" t="n">
        <f aca="false">S6*Q22</f>
        <v>190450232.675029</v>
      </c>
      <c r="R6" s="6" t="n">
        <f aca="false">O6/C6</f>
        <v>13693.3948811302</v>
      </c>
      <c r="S6" s="6" t="n">
        <f aca="false">C6/C22</f>
        <v>0.0758471093653459</v>
      </c>
    </row>
    <row r="7" s="5" customFormat="true" ht="14.25" hidden="false" customHeight="true" outlineLevel="0" collapsed="false">
      <c r="A7" s="5" t="s">
        <v>121</v>
      </c>
      <c r="B7" s="5" t="s">
        <v>26</v>
      </c>
      <c r="C7" s="6" t="n">
        <v>998302.312169593</v>
      </c>
      <c r="D7" s="6" t="n">
        <v>764654.927234916</v>
      </c>
      <c r="E7" s="6" t="n">
        <v>1273229.5616592</v>
      </c>
      <c r="F7" s="6" t="n">
        <v>1192025.31789941</v>
      </c>
      <c r="G7" s="6" t="n">
        <v>902869.152083734</v>
      </c>
      <c r="H7" s="6" t="n">
        <v>1538333.70838307</v>
      </c>
      <c r="I7" s="6" t="n">
        <v>40479.8607784511</v>
      </c>
      <c r="J7" s="6" t="n">
        <v>26431.5697766503</v>
      </c>
      <c r="K7" s="6" t="n">
        <v>58679.1105941813</v>
      </c>
      <c r="L7" s="6" t="n">
        <v>48194.4336330541</v>
      </c>
      <c r="M7" s="6" t="n">
        <v>31747.1234300185</v>
      </c>
      <c r="N7" s="6" t="n">
        <v>69912.8196382259</v>
      </c>
      <c r="O7" s="6" t="n">
        <v>816514545.58</v>
      </c>
      <c r="P7" s="6" t="n">
        <v>717765513.12</v>
      </c>
      <c r="Q7" s="6" t="n">
        <v>931316163.7</v>
      </c>
      <c r="R7" s="6" t="n">
        <f aca="false">O7/C7</f>
        <v>817.903089701839</v>
      </c>
      <c r="S7" s="6"/>
    </row>
    <row r="8" s="5" customFormat="true" ht="14.25" hidden="false" customHeight="true" outlineLevel="0" collapsed="false">
      <c r="A8" s="5" t="s">
        <v>121</v>
      </c>
      <c r="B8" s="5" t="s">
        <v>120</v>
      </c>
      <c r="C8" s="6" t="n">
        <v>1278360.78391966</v>
      </c>
      <c r="D8" s="6" t="n">
        <v>1046225.07425997</v>
      </c>
      <c r="E8" s="6" t="n">
        <v>1571210.33049957</v>
      </c>
      <c r="F8" s="6" t="n">
        <v>1301868.24936212</v>
      </c>
      <c r="G8" s="6" t="n">
        <v>1055269.2605169</v>
      </c>
      <c r="H8" s="6" t="n">
        <v>1601853.44963811</v>
      </c>
      <c r="I8" s="6" t="n">
        <v>139372.671275615</v>
      </c>
      <c r="J8" s="6" t="n">
        <v>93250.3807883033</v>
      </c>
      <c r="K8" s="6" t="n">
        <v>192959.129166231</v>
      </c>
      <c r="L8" s="6" t="n">
        <v>141174.87270896</v>
      </c>
      <c r="M8" s="6" t="n">
        <v>93887.1306836196</v>
      </c>
      <c r="N8" s="6" t="n">
        <v>192495.823506243</v>
      </c>
      <c r="O8" s="6" t="n">
        <v>419923994.14</v>
      </c>
      <c r="P8" s="6" t="n">
        <v>361034534.21</v>
      </c>
      <c r="Q8" s="6" t="n">
        <v>484846415.51</v>
      </c>
      <c r="R8" s="6" t="n">
        <f aca="false">O8/C8</f>
        <v>328.486292306657</v>
      </c>
      <c r="S8" s="6"/>
    </row>
    <row r="9" s="5" customFormat="true" ht="14.25" hidden="false" customHeight="true" outlineLevel="0" collapsed="false">
      <c r="A9" s="5" t="s">
        <v>121</v>
      </c>
      <c r="B9" s="5" t="s">
        <v>98</v>
      </c>
      <c r="C9" s="6" t="n">
        <v>2324.85671736365</v>
      </c>
      <c r="D9" s="6" t="n">
        <v>1364.26024902451</v>
      </c>
      <c r="E9" s="6" t="n">
        <v>4424.82065523778</v>
      </c>
      <c r="F9" s="6" t="n">
        <v>2805.95121943065</v>
      </c>
      <c r="G9" s="6" t="n">
        <v>1548.05743859519</v>
      </c>
      <c r="H9" s="6" t="n">
        <v>5578.81812790546</v>
      </c>
      <c r="I9" s="6" t="n">
        <v>250.085384485224</v>
      </c>
      <c r="J9" s="6" t="n">
        <v>127.427371181397</v>
      </c>
      <c r="K9" s="6" t="n">
        <v>460.740260406788</v>
      </c>
      <c r="L9" s="6" t="n">
        <v>300.261676231584</v>
      </c>
      <c r="M9" s="6" t="n">
        <v>147.436696032439</v>
      </c>
      <c r="N9" s="6" t="n">
        <v>599.58897345319</v>
      </c>
      <c r="O9" s="6" t="n">
        <v>178491931.1</v>
      </c>
      <c r="P9" s="6" t="n">
        <v>156183800.17</v>
      </c>
      <c r="Q9" s="6" t="n">
        <v>208124226.32</v>
      </c>
      <c r="R9" s="6" t="n">
        <f aca="false">O9/C9</f>
        <v>76775.4544901188</v>
      </c>
      <c r="S9" s="6"/>
    </row>
    <row r="10" s="5" customFormat="true" ht="14.25" hidden="false" customHeight="true" outlineLevel="0" collapsed="false">
      <c r="A10" s="5" t="s">
        <v>121</v>
      </c>
      <c r="B10" s="6" t="s">
        <v>44</v>
      </c>
      <c r="C10" s="6" t="n">
        <v>972.936942235066</v>
      </c>
      <c r="D10" s="6" t="n">
        <v>838.306803384181</v>
      </c>
      <c r="E10" s="6" t="n">
        <v>1114.58946529467</v>
      </c>
      <c r="F10" s="6" t="n">
        <v>1055.63419418939</v>
      </c>
      <c r="G10" s="6" t="n">
        <v>893.666109757915</v>
      </c>
      <c r="H10" s="6" t="n">
        <v>1245.97080093583</v>
      </c>
      <c r="I10" s="6" t="n">
        <v>206.501145178231</v>
      </c>
      <c r="J10" s="6" t="n">
        <v>149.705307856483</v>
      </c>
      <c r="K10" s="6" t="n">
        <v>278.916777217457</v>
      </c>
      <c r="L10" s="6" t="n">
        <v>224.002342752053</v>
      </c>
      <c r="M10" s="6" t="n">
        <v>162.044006279261</v>
      </c>
      <c r="N10" s="6" t="n">
        <v>302.069785492224</v>
      </c>
      <c r="O10" s="6" t="n">
        <v>185479893.81</v>
      </c>
      <c r="P10" s="6" t="n">
        <v>154771827.87</v>
      </c>
      <c r="Q10" s="6" t="n">
        <v>221942367.18</v>
      </c>
      <c r="R10" s="6" t="n">
        <f aca="false">O10/C10</f>
        <v>190639.172754515</v>
      </c>
      <c r="S10" s="6"/>
    </row>
    <row r="11" s="5" customFormat="true" ht="14.25" hidden="false" customHeight="true" outlineLevel="0" collapsed="false">
      <c r="A11" s="5" t="s">
        <v>121</v>
      </c>
      <c r="B11" s="5" t="s">
        <v>12</v>
      </c>
      <c r="C11" s="6" t="n">
        <v>2799.32317736268</v>
      </c>
      <c r="D11" s="6" t="n">
        <v>2198.64823128399</v>
      </c>
      <c r="E11" s="6" t="n">
        <v>3719.3128118394</v>
      </c>
      <c r="F11" s="6" t="n">
        <v>2861.48741573367</v>
      </c>
      <c r="G11" s="6" t="n">
        <v>2239.70376959097</v>
      </c>
      <c r="H11" s="6" t="n">
        <v>3783.71268274658</v>
      </c>
      <c r="I11" s="6" t="n">
        <v>788.483134449099</v>
      </c>
      <c r="J11" s="6" t="n">
        <v>531.168206622598</v>
      </c>
      <c r="K11" s="6" t="n">
        <v>1181.93645462707</v>
      </c>
      <c r="L11" s="6" t="n">
        <v>805.931522708141</v>
      </c>
      <c r="M11" s="6" t="n">
        <v>537.181393865178</v>
      </c>
      <c r="N11" s="6" t="n">
        <v>1202.86773928787</v>
      </c>
      <c r="O11" s="6" t="n">
        <v>77922569.95</v>
      </c>
      <c r="P11" s="6" t="n">
        <v>63883693.43</v>
      </c>
      <c r="Q11" s="6" t="n">
        <v>93791346.82</v>
      </c>
      <c r="R11" s="6" t="n">
        <f aca="false">O11/C11</f>
        <v>27836.217904434</v>
      </c>
      <c r="S11" s="6"/>
    </row>
    <row r="12" s="5" customFormat="true" ht="14.25" hidden="false" customHeight="true" outlineLevel="0" collapsed="false">
      <c r="A12" s="5" t="s">
        <v>121</v>
      </c>
      <c r="B12" s="5" t="s">
        <v>113</v>
      </c>
      <c r="C12" s="6" t="n">
        <v>344300.406486345</v>
      </c>
      <c r="D12" s="6" t="n">
        <v>187164.774221649</v>
      </c>
      <c r="E12" s="6" t="n">
        <v>585459.737438344</v>
      </c>
      <c r="F12" s="6" t="n">
        <v>352597.237510992</v>
      </c>
      <c r="G12" s="6" t="n">
        <v>196286.724834471</v>
      </c>
      <c r="H12" s="6" t="n">
        <v>594615.574702591</v>
      </c>
      <c r="I12" s="6" t="n">
        <v>35422.3850983675</v>
      </c>
      <c r="J12" s="6" t="n">
        <v>16807.2854136557</v>
      </c>
      <c r="K12" s="6" t="n">
        <v>65143.668956131</v>
      </c>
      <c r="L12" s="6" t="n">
        <v>36129.0479085102</v>
      </c>
      <c r="M12" s="6" t="n">
        <v>17491.5633751202</v>
      </c>
      <c r="N12" s="6" t="n">
        <v>67592.7752689403</v>
      </c>
      <c r="O12" s="6" t="n">
        <v>219738911.07</v>
      </c>
      <c r="P12" s="6" t="n">
        <v>184879012.03</v>
      </c>
      <c r="Q12" s="6" t="n">
        <v>256801333.83</v>
      </c>
      <c r="R12" s="6" t="n">
        <f aca="false">O12/C12</f>
        <v>638.218564167495</v>
      </c>
      <c r="S12" s="6"/>
    </row>
    <row r="13" s="5" customFormat="true" ht="14.25" hidden="false" customHeight="true" outlineLevel="0" collapsed="false">
      <c r="A13" s="5" t="s">
        <v>121</v>
      </c>
      <c r="B13" s="5" t="s">
        <v>101</v>
      </c>
      <c r="C13" s="6" t="n">
        <v>308490.45</v>
      </c>
      <c r="D13" s="6" t="n">
        <v>261185</v>
      </c>
      <c r="E13" s="6" t="n">
        <v>356687.25</v>
      </c>
      <c r="F13" s="6" t="n">
        <v>317347.32</v>
      </c>
      <c r="G13" s="6" t="n">
        <v>268395.22</v>
      </c>
      <c r="H13" s="6" t="n">
        <v>370253.23</v>
      </c>
      <c r="I13" s="6" t="n">
        <v>39794.08</v>
      </c>
      <c r="J13" s="6" t="n">
        <v>29596.61</v>
      </c>
      <c r="K13" s="6" t="n">
        <v>50642.6</v>
      </c>
      <c r="L13" s="6" t="n">
        <v>40580.29</v>
      </c>
      <c r="M13" s="6" t="n">
        <v>29904.7</v>
      </c>
      <c r="N13" s="6" t="n">
        <v>52404.71</v>
      </c>
      <c r="O13" s="6" t="n">
        <v>110205835.71</v>
      </c>
      <c r="P13" s="6" t="n">
        <v>87268261.82</v>
      </c>
      <c r="Q13" s="6" t="n">
        <v>135810852.87</v>
      </c>
      <c r="R13" s="6" t="n">
        <f aca="false">O13/C13</f>
        <v>357.242292946184</v>
      </c>
      <c r="S13" s="6"/>
    </row>
    <row r="14" s="5" customFormat="true" ht="14.25" hidden="false" customHeight="true" outlineLevel="0" collapsed="false">
      <c r="A14" s="5" t="s">
        <v>121</v>
      </c>
      <c r="B14" s="5" t="s">
        <v>105</v>
      </c>
      <c r="C14" s="6" t="n">
        <v>12614.17</v>
      </c>
      <c r="D14" s="6" t="n">
        <v>4637.04</v>
      </c>
      <c r="E14" s="6" t="n">
        <v>23143.54</v>
      </c>
      <c r="F14" s="6" t="n">
        <v>13196.89</v>
      </c>
      <c r="G14" s="6" t="n">
        <v>4879.79</v>
      </c>
      <c r="H14" s="6" t="n">
        <v>24273.75</v>
      </c>
      <c r="I14" s="6" t="n">
        <v>1699.86</v>
      </c>
      <c r="J14" s="6" t="n">
        <v>840.45</v>
      </c>
      <c r="K14" s="6" t="n">
        <v>2888.96</v>
      </c>
      <c r="L14" s="6" t="n">
        <v>1816.38</v>
      </c>
      <c r="M14" s="6" t="n">
        <v>934.85</v>
      </c>
      <c r="N14" s="6" t="n">
        <v>3046.66</v>
      </c>
      <c r="O14" s="6" t="n">
        <f aca="false">S14*O22</f>
        <v>172730810.907707</v>
      </c>
      <c r="P14" s="6" t="n">
        <f aca="false">S14*P22</f>
        <v>143255348.710862</v>
      </c>
      <c r="Q14" s="6" t="n">
        <f aca="false">S14*Q22</f>
        <v>207645288.100322</v>
      </c>
      <c r="R14" s="6" t="n">
        <f aca="false">O14/C14</f>
        <v>13693.3948811302</v>
      </c>
      <c r="S14" s="6" t="n">
        <f aca="false">C14/C22</f>
        <v>0.082695067653802</v>
      </c>
    </row>
    <row r="15" customFormat="false" ht="14.25" hidden="false" customHeight="true" outlineLevel="0" collapsed="false">
      <c r="A15" s="1" t="s">
        <v>121</v>
      </c>
      <c r="B15" s="1" t="s">
        <v>110</v>
      </c>
      <c r="C15" s="12" t="n">
        <v>2336107.09779361</v>
      </c>
      <c r="D15" s="12" t="n">
        <v>2112496.91896368</v>
      </c>
      <c r="E15" s="12" t="n">
        <v>2610058.61144258</v>
      </c>
      <c r="F15" s="12" t="n">
        <v>2383433.05275618</v>
      </c>
      <c r="G15" s="12" t="n">
        <v>2156384.21774155</v>
      </c>
      <c r="H15" s="12" t="n">
        <v>2659293.69315573</v>
      </c>
      <c r="I15" s="12" t="n">
        <v>211319.245417638</v>
      </c>
      <c r="J15" s="12" t="n">
        <v>143784.673105062</v>
      </c>
      <c r="K15" s="12" t="n">
        <v>285637.604531367</v>
      </c>
      <c r="L15" s="12" t="n">
        <v>214238.823593276</v>
      </c>
      <c r="M15" s="12" t="n">
        <v>146034.246498002</v>
      </c>
      <c r="N15" s="12" t="n">
        <v>284945.091651443</v>
      </c>
      <c r="O15" s="12" t="n">
        <v>4441970068.67</v>
      </c>
      <c r="P15" s="12" t="n">
        <v>3916986181.93</v>
      </c>
      <c r="Q15" s="12" t="n">
        <v>5045958677.12</v>
      </c>
      <c r="R15" s="6"/>
      <c r="S15" s="12"/>
    </row>
    <row r="16" s="5" customFormat="true" ht="14.25" hidden="false" customHeight="true" outlineLevel="0" collapsed="false">
      <c r="A16" s="5" t="s">
        <v>121</v>
      </c>
      <c r="B16" s="5" t="s">
        <v>5</v>
      </c>
      <c r="C16" s="12" t="n">
        <v>162004.481933534</v>
      </c>
      <c r="D16" s="14"/>
      <c r="E16" s="14"/>
      <c r="F16" s="12" t="n">
        <v>116802.704314706</v>
      </c>
      <c r="G16" s="14"/>
      <c r="H16" s="14"/>
      <c r="I16" s="12" t="n">
        <v>6452.38350997754</v>
      </c>
      <c r="J16" s="14"/>
      <c r="K16" s="14"/>
      <c r="L16" s="12" t="n">
        <v>4786.43440654632</v>
      </c>
      <c r="M16" s="14"/>
      <c r="N16" s="14"/>
      <c r="O16" s="12" t="n">
        <f aca="false">S16*O23</f>
        <v>15577082.0565935</v>
      </c>
      <c r="P16" s="12" t="n">
        <f aca="false">S16*P23</f>
        <v>13260862.9710527</v>
      </c>
      <c r="Q16" s="12" t="n">
        <f aca="false">S16*Q23</f>
        <v>18310888.1773671</v>
      </c>
      <c r="R16" s="6" t="n">
        <f aca="false">O16/C16</f>
        <v>96.1521673393231</v>
      </c>
      <c r="S16" s="12" t="n">
        <f aca="false">C16/C23</f>
        <v>0.0903650838783623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121</v>
      </c>
      <c r="B17" s="5" t="s">
        <v>114</v>
      </c>
      <c r="C17" s="6" t="n">
        <v>14226.6891398252</v>
      </c>
      <c r="D17" s="6" t="n">
        <v>11809.0133646559</v>
      </c>
      <c r="E17" s="6" t="n">
        <v>17094.1306772275</v>
      </c>
      <c r="F17" s="6" t="n">
        <v>14619.4526999514</v>
      </c>
      <c r="G17" s="6" t="n">
        <v>12187.275274343</v>
      </c>
      <c r="H17" s="6" t="n">
        <v>17713.224146299</v>
      </c>
      <c r="I17" s="6" t="n">
        <v>2034.0415351268</v>
      </c>
      <c r="J17" s="6" t="n">
        <v>1317.06262374515</v>
      </c>
      <c r="K17" s="6" t="n">
        <v>2965.50198413438</v>
      </c>
      <c r="L17" s="6" t="n">
        <v>2089.3989606922</v>
      </c>
      <c r="M17" s="6" t="n">
        <v>1308.76467673872</v>
      </c>
      <c r="N17" s="6" t="n">
        <v>3049.17283609616</v>
      </c>
      <c r="O17" s="6" t="n">
        <v>75908288.53</v>
      </c>
      <c r="P17" s="6" t="n">
        <v>64719643.78</v>
      </c>
      <c r="Q17" s="6" t="n">
        <v>89787518.75</v>
      </c>
      <c r="R17" s="6" t="n">
        <f aca="false">O17/C17</f>
        <v>5335.62572317038</v>
      </c>
      <c r="S17" s="6"/>
      <c r="V17" s="10"/>
    </row>
    <row r="18" s="5" customFormat="true" ht="14.25" hidden="false" customHeight="true" outlineLevel="0" collapsed="false">
      <c r="A18" s="5" t="s">
        <v>121</v>
      </c>
      <c r="B18" s="5" t="s">
        <v>106</v>
      </c>
      <c r="C18" s="6" t="n">
        <v>2729.65</v>
      </c>
      <c r="D18" s="6" t="n">
        <v>2013.89</v>
      </c>
      <c r="E18" s="6" t="n">
        <v>3368.7</v>
      </c>
      <c r="F18" s="6" t="n">
        <v>3072.09</v>
      </c>
      <c r="G18" s="6" t="n">
        <v>2299.28</v>
      </c>
      <c r="H18" s="6" t="n">
        <v>3772.1</v>
      </c>
      <c r="I18" s="6" t="n">
        <v>265.85</v>
      </c>
      <c r="J18" s="6" t="n">
        <v>176.2</v>
      </c>
      <c r="K18" s="6" t="n">
        <v>376.83</v>
      </c>
      <c r="L18" s="6" t="n">
        <v>296.9</v>
      </c>
      <c r="M18" s="6" t="n">
        <v>185.14</v>
      </c>
      <c r="N18" s="6" t="n">
        <v>420.65</v>
      </c>
      <c r="O18" s="6" t="n">
        <v>65056128.12</v>
      </c>
      <c r="P18" s="6" t="n">
        <v>54581305.16</v>
      </c>
      <c r="Q18" s="6" t="n">
        <v>77419292.77</v>
      </c>
      <c r="R18" s="6" t="n">
        <f aca="false">O18/C18</f>
        <v>23833.1390910923</v>
      </c>
      <c r="S18" s="6"/>
    </row>
    <row r="19" s="5" customFormat="true" ht="14.25" hidden="false" customHeight="true" outlineLevel="0" collapsed="false">
      <c r="A19" s="5" t="s">
        <v>121</v>
      </c>
      <c r="B19" s="5" t="s">
        <v>41</v>
      </c>
      <c r="C19" s="6" t="n">
        <v>68867.3224065977</v>
      </c>
      <c r="D19" s="6" t="n">
        <v>59325.3658075325</v>
      </c>
      <c r="E19" s="6" t="n">
        <v>79799.3987216326</v>
      </c>
      <c r="F19" s="6" t="n">
        <v>67936.7282853478</v>
      </c>
      <c r="G19" s="6" t="n">
        <v>57258.9205456187</v>
      </c>
      <c r="H19" s="6" t="n">
        <v>80122.0282616828</v>
      </c>
      <c r="I19" s="6" t="n">
        <v>9242.1571763148</v>
      </c>
      <c r="J19" s="6" t="n">
        <v>6436.54609862307</v>
      </c>
      <c r="K19" s="6" t="n">
        <v>12298.4656112271</v>
      </c>
      <c r="L19" s="6" t="n">
        <v>9049.32493237489</v>
      </c>
      <c r="M19" s="6" t="n">
        <v>6391.58280850929</v>
      </c>
      <c r="N19" s="6" t="n">
        <v>12113.285380755</v>
      </c>
      <c r="O19" s="6" t="n">
        <v>173558642.71</v>
      </c>
      <c r="P19" s="6" t="n">
        <v>148248372.22</v>
      </c>
      <c r="Q19" s="6" t="n">
        <v>204372846.2</v>
      </c>
      <c r="R19" s="6" t="n">
        <f aca="false">O19/C19</f>
        <v>2520.18862712996</v>
      </c>
      <c r="S19" s="6"/>
    </row>
    <row r="20" customFormat="false" ht="14.25" hidden="false" customHeight="true" outlineLevel="0" collapsed="false">
      <c r="A20" s="5" t="s">
        <v>121</v>
      </c>
      <c r="B20" s="5" t="s">
        <v>22</v>
      </c>
      <c r="C20" s="6" t="n">
        <v>1809834.67238644</v>
      </c>
      <c r="D20" s="7" t="n">
        <v>1637141.51389952</v>
      </c>
      <c r="E20" s="7" t="n">
        <v>1982527.83087336</v>
      </c>
      <c r="F20" s="6" t="n">
        <v>1790834.87652991</v>
      </c>
      <c r="G20" s="7" t="n">
        <v>1615900.61477833</v>
      </c>
      <c r="H20" s="7" t="n">
        <v>1965769.13828148</v>
      </c>
      <c r="I20" s="6" t="n">
        <f aca="false">I24-I7</f>
        <v>62208.1285196569</v>
      </c>
      <c r="J20" s="6" t="n">
        <f aca="false">J24-J7</f>
        <v>44950.3692865149</v>
      </c>
      <c r="K20" s="6" t="n">
        <f aca="false">K24-K7</f>
        <v>83370.5133821647</v>
      </c>
      <c r="L20" s="6" t="n">
        <f aca="false">L24-L7</f>
        <v>62239.4651400609</v>
      </c>
      <c r="M20" s="6" t="n">
        <f aca="false">M24-M7</f>
        <v>45883.2437286466</v>
      </c>
      <c r="N20" s="6" t="n">
        <f aca="false">N24-N7</f>
        <v>86379.4561125541</v>
      </c>
      <c r="O20" s="5" t="n">
        <v>2412972545.38</v>
      </c>
      <c r="P20" s="5" t="n">
        <v>2108673433.97</v>
      </c>
      <c r="Q20" s="5" t="n">
        <v>2743822150.76</v>
      </c>
      <c r="R20" s="6" t="n">
        <f aca="false">O20/C20</f>
        <v>1333.25578418622</v>
      </c>
    </row>
    <row r="21" s="5" customFormat="true" ht="14.25" hidden="false" customHeight="true" outlineLevel="0" collapsed="false"/>
    <row r="22" s="5" customFormat="true" ht="14.25" hidden="false" customHeight="true" outlineLevel="0" collapsed="false">
      <c r="B22" s="5" t="s">
        <v>107</v>
      </c>
      <c r="C22" s="6" t="n">
        <v>152538.36</v>
      </c>
      <c r="D22" s="6" t="n">
        <v>139061.49</v>
      </c>
      <c r="E22" s="6" t="n">
        <v>165673.92</v>
      </c>
      <c r="F22" s="6" t="n">
        <v>158541.47</v>
      </c>
      <c r="G22" s="6" t="n">
        <v>142626.21</v>
      </c>
      <c r="H22" s="6" t="n">
        <v>174794.66</v>
      </c>
      <c r="I22" s="6" t="n">
        <v>15745.92</v>
      </c>
      <c r="J22" s="6" t="n">
        <v>11003.76</v>
      </c>
      <c r="K22" s="6" t="n">
        <v>20872.43</v>
      </c>
      <c r="L22" s="6" t="n">
        <v>16314.32</v>
      </c>
      <c r="M22" s="6" t="n">
        <v>11726.1</v>
      </c>
      <c r="N22" s="6" t="n">
        <v>21766.94</v>
      </c>
      <c r="O22" s="6" t="n">
        <v>2088767998</v>
      </c>
      <c r="P22" s="6" t="n">
        <v>1732332444.67</v>
      </c>
      <c r="Q22" s="6" t="n">
        <v>2510975490.94</v>
      </c>
      <c r="R22" s="6"/>
      <c r="S22" s="6"/>
    </row>
    <row r="23" s="5" customFormat="true" ht="14.25" hidden="false" customHeight="true" outlineLevel="0" collapsed="false">
      <c r="B23" s="5" t="s">
        <v>108</v>
      </c>
      <c r="C23" s="6" t="n">
        <v>1792777.42</v>
      </c>
      <c r="D23" s="6" t="n">
        <v>1361004.6</v>
      </c>
      <c r="E23" s="6" t="n">
        <v>2338243.69</v>
      </c>
      <c r="F23" s="6" t="n">
        <v>1728397.68</v>
      </c>
      <c r="G23" s="6" t="n">
        <v>1217793.11</v>
      </c>
      <c r="H23" s="6" t="n">
        <v>2429416.53</v>
      </c>
      <c r="I23" s="6" t="n">
        <v>31852.05</v>
      </c>
      <c r="J23" s="6" t="n">
        <v>17278.4</v>
      </c>
      <c r="K23" s="6" t="n">
        <v>50459.25</v>
      </c>
      <c r="L23" s="6" t="n">
        <v>29251.11</v>
      </c>
      <c r="M23" s="6" t="n">
        <v>14451.45</v>
      </c>
      <c r="N23" s="6" t="n">
        <v>50839.24</v>
      </c>
      <c r="O23" s="6" t="n">
        <v>172379434.49</v>
      </c>
      <c r="P23" s="6" t="n">
        <v>146747641.92</v>
      </c>
      <c r="Q23" s="6" t="n">
        <v>202632337.53</v>
      </c>
      <c r="R23" s="6"/>
      <c r="S23" s="6"/>
    </row>
    <row r="24" customFormat="false" ht="14.25" hidden="false" customHeight="true" outlineLevel="0" collapsed="false">
      <c r="B24" s="5" t="s">
        <v>109</v>
      </c>
      <c r="C24" s="6" t="n">
        <v>3251179.43223184</v>
      </c>
      <c r="D24" s="6" t="n">
        <v>2860256.32715878</v>
      </c>
      <c r="E24" s="6" t="n">
        <v>3655471.81023269</v>
      </c>
      <c r="F24" s="6" t="n">
        <v>3422034.70153669</v>
      </c>
      <c r="G24" s="6" t="n">
        <v>3001052.437789</v>
      </c>
      <c r="H24" s="6" t="n">
        <v>3846720.52262143</v>
      </c>
      <c r="I24" s="6" t="n">
        <v>102687.989298108</v>
      </c>
      <c r="J24" s="6" t="n">
        <v>71381.9390631652</v>
      </c>
      <c r="K24" s="6" t="n">
        <v>142049.623976346</v>
      </c>
      <c r="L24" s="6" t="n">
        <v>110433.898773115</v>
      </c>
      <c r="M24" s="6" t="n">
        <v>77630.3671586651</v>
      </c>
      <c r="N24" s="6" t="n">
        <v>156292.27575078</v>
      </c>
      <c r="O24" s="6" t="n">
        <f aca="false">O7+O20</f>
        <v>3229487090.96</v>
      </c>
      <c r="P24" s="6" t="n">
        <f aca="false">P7+P20</f>
        <v>2826438947.09</v>
      </c>
      <c r="Q24" s="6" t="n">
        <f aca="false">Q7+Q20</f>
        <v>3675138314.46</v>
      </c>
      <c r="R24" s="6"/>
      <c r="S24" s="6"/>
    </row>
    <row r="26" customFormat="false" ht="14.25" hidden="false" customHeight="true" outlineLevel="0" collapsed="false">
      <c r="C26" s="1" t="s">
        <v>123</v>
      </c>
      <c r="D26" s="1" t="n">
        <f aca="false">C7/C24</f>
        <v>0.307058509989492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4.11"/>
    <col collapsed="false" customWidth="true" hidden="false" outlineLevel="0" max="3" min="3" style="1" width="10.56"/>
    <col collapsed="false" customWidth="true" hidden="false" outlineLevel="0" max="4" min="4" style="1" width="4.11"/>
    <col collapsed="false" customWidth="true" hidden="true" outlineLevel="0" max="5" min="5" style="1" width="10.56"/>
    <col collapsed="false" customWidth="true" hidden="true" outlineLevel="0" max="6" min="6" style="1" width="14"/>
    <col collapsed="false" customWidth="true" hidden="true" outlineLevel="0" max="8" min="7" style="1" width="10.56"/>
    <col collapsed="false" customWidth="true" hidden="true" outlineLevel="0" max="14" min="9" style="1" width="9.56"/>
    <col collapsed="false" customWidth="true" hidden="false" outlineLevel="0" max="17" min="15" style="1" width="13.67"/>
    <col collapsed="false" customWidth="true" hidden="false" outlineLevel="0" max="18" min="18" style="1" width="9.56"/>
    <col collapsed="false" customWidth="true" hidden="false" outlineLevel="0" max="19" min="19" style="1" width="24.78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</row>
    <row r="2" s="5" customFormat="true" ht="14.25" hidden="false" customHeight="true" outlineLevel="0" collapsed="false">
      <c r="A2" s="5" t="s">
        <v>124</v>
      </c>
      <c r="B2" s="5" t="s">
        <v>94</v>
      </c>
      <c r="C2" s="6" t="n">
        <v>4042.26176521573</v>
      </c>
      <c r="D2" s="6" t="n">
        <v>2163.04168926385</v>
      </c>
      <c r="E2" s="6" t="n">
        <v>6453.96833689389</v>
      </c>
      <c r="F2" s="6" t="n">
        <v>4099.82337966896</v>
      </c>
      <c r="G2" s="6" t="n">
        <v>2118.53598773625</v>
      </c>
      <c r="H2" s="6" t="n">
        <v>6782.22873799532</v>
      </c>
      <c r="I2" s="6" t="n">
        <v>298.751716793052</v>
      </c>
      <c r="J2" s="6" t="n">
        <v>154.574174871113</v>
      </c>
      <c r="K2" s="6" t="n">
        <v>499.372597070917</v>
      </c>
      <c r="L2" s="6" t="n">
        <v>303.996203948953</v>
      </c>
      <c r="M2" s="6" t="n">
        <v>150.265150360326</v>
      </c>
      <c r="N2" s="6" t="n">
        <v>548.856034594086</v>
      </c>
      <c r="O2" s="6" t="n">
        <v>155632895.47</v>
      </c>
      <c r="P2" s="6" t="n">
        <v>131945960.76</v>
      </c>
      <c r="Q2" s="6" t="n">
        <v>185145168.31</v>
      </c>
      <c r="R2" s="6" t="n">
        <f aca="false">O2/C2</f>
        <v>38501.4391718133</v>
      </c>
      <c r="S2" s="6"/>
    </row>
    <row r="3" s="5" customFormat="true" ht="14.25" hidden="false" customHeight="true" outlineLevel="0" collapsed="false">
      <c r="A3" s="5" t="s">
        <v>124</v>
      </c>
      <c r="B3" s="5" t="s">
        <v>97</v>
      </c>
      <c r="C3" s="6" t="n">
        <v>35474.2471564475</v>
      </c>
      <c r="D3" s="6" t="n">
        <v>29146.0331173009</v>
      </c>
      <c r="E3" s="6" t="n">
        <v>42780.5780110038</v>
      </c>
      <c r="F3" s="6" t="n">
        <v>35170.3435246291</v>
      </c>
      <c r="G3" s="6" t="n">
        <v>28119.7820188781</v>
      </c>
      <c r="H3" s="6" t="n">
        <v>43338.2299318386</v>
      </c>
      <c r="I3" s="15" t="n">
        <v>5284.21046958907</v>
      </c>
      <c r="J3" s="6" t="n">
        <v>3390.46161606073</v>
      </c>
      <c r="K3" s="6" t="n">
        <v>7546.73031008678</v>
      </c>
      <c r="L3" s="6" t="n">
        <v>5250.29573575437</v>
      </c>
      <c r="M3" s="6" t="n">
        <v>3321.7657390528</v>
      </c>
      <c r="N3" s="6" t="n">
        <v>7561.30402227126</v>
      </c>
      <c r="O3" s="6" t="n">
        <f aca="false">S3*O24</f>
        <v>214792887.015266</v>
      </c>
      <c r="P3" s="6" t="n">
        <f aca="false">S3*P24</f>
        <v>182329560.884749</v>
      </c>
      <c r="Q3" s="6" t="n">
        <f aca="false">S3*Q24</f>
        <v>252684308.033052</v>
      </c>
      <c r="R3" s="6" t="n">
        <f aca="false">O3/C3</f>
        <v>6054.8962763887</v>
      </c>
      <c r="S3" s="6" t="n">
        <f aca="false">C3/C24</f>
        <v>0.257851271983859</v>
      </c>
    </row>
    <row r="4" s="5" customFormat="true" ht="14.25" hidden="false" customHeight="true" outlineLevel="0" collapsed="false">
      <c r="A4" s="5" t="s">
        <v>124</v>
      </c>
      <c r="B4" s="5" t="s">
        <v>119</v>
      </c>
      <c r="C4" s="6" t="n">
        <v>118780.663184359</v>
      </c>
      <c r="D4" s="6" t="n">
        <v>105445.124777038</v>
      </c>
      <c r="E4" s="6" t="n">
        <v>134392.019022008</v>
      </c>
      <c r="F4" s="6" t="n">
        <v>130571.017190468</v>
      </c>
      <c r="G4" s="6" t="n">
        <v>108925.001642756</v>
      </c>
      <c r="H4" s="6" t="n">
        <v>150985.659663019</v>
      </c>
      <c r="I4" s="15" t="n">
        <v>6057.70683126094</v>
      </c>
      <c r="J4" s="6" t="n">
        <v>3959.44481218842</v>
      </c>
      <c r="K4" s="6" t="n">
        <v>8832.6843235578</v>
      </c>
      <c r="L4" s="6" t="n">
        <v>6625.87810981354</v>
      </c>
      <c r="M4" s="6" t="n">
        <v>4227.69659774552</v>
      </c>
      <c r="N4" s="6" t="n">
        <v>9639.03215056047</v>
      </c>
      <c r="O4" s="6" t="n">
        <v>722578173.05</v>
      </c>
      <c r="P4" s="6" t="n">
        <v>624980598.59</v>
      </c>
      <c r="Q4" s="6" t="n">
        <v>840002046.3</v>
      </c>
      <c r="R4" s="6" t="n">
        <f aca="false">O4/C4</f>
        <v>6083.29801904279</v>
      </c>
      <c r="S4" s="6"/>
    </row>
    <row r="5" s="5" customFormat="true" ht="14.25" hidden="false" customHeight="true" outlineLevel="0" collapsed="false">
      <c r="A5" s="5" t="s">
        <v>124</v>
      </c>
      <c r="B5" s="5" t="s">
        <v>122</v>
      </c>
      <c r="C5" s="6" t="n">
        <v>160818.521219379</v>
      </c>
      <c r="D5" s="6" t="n">
        <v>125415.473815249</v>
      </c>
      <c r="E5" s="6" t="n">
        <v>196231.809305509</v>
      </c>
      <c r="F5" s="6" t="n">
        <v>188230.334504758</v>
      </c>
      <c r="G5" s="6" t="n">
        <v>145587.191059137</v>
      </c>
      <c r="H5" s="6" t="n">
        <v>236915.274532023</v>
      </c>
      <c r="I5" s="15" t="n">
        <v>8206.4580053412</v>
      </c>
      <c r="J5" s="6" t="n">
        <v>5304.55800128044</v>
      </c>
      <c r="K5" s="6" t="n">
        <v>12556.817309682</v>
      </c>
      <c r="L5" s="6" t="n">
        <v>9610.80503848982</v>
      </c>
      <c r="M5" s="6" t="n">
        <v>5744.19158979033</v>
      </c>
      <c r="N5" s="6" t="n">
        <v>15002.7155831535</v>
      </c>
      <c r="O5" s="6" t="n">
        <v>1030224843.24</v>
      </c>
      <c r="P5" s="6" t="n">
        <v>898333418.88</v>
      </c>
      <c r="Q5" s="6" t="n">
        <v>1180689362.04</v>
      </c>
      <c r="R5" s="6" t="n">
        <f aca="false">O5/C5</f>
        <v>6406.13304629651</v>
      </c>
      <c r="S5" s="6"/>
    </row>
    <row r="6" s="5" customFormat="true" ht="14.25" hidden="false" customHeight="true" outlineLevel="0" collapsed="false">
      <c r="A6" s="5" t="s">
        <v>124</v>
      </c>
      <c r="B6" s="5" t="s">
        <v>37</v>
      </c>
      <c r="C6" s="6" t="n">
        <v>11421.4142453058</v>
      </c>
      <c r="D6" s="6" t="n">
        <v>10155.0457089807</v>
      </c>
      <c r="E6" s="6" t="n">
        <v>12893.9403473833</v>
      </c>
      <c r="F6" s="6" t="n">
        <v>11762.5408538373</v>
      </c>
      <c r="G6" s="6" t="n">
        <v>10107.9461429414</v>
      </c>
      <c r="H6" s="6" t="n">
        <v>13658.0319926715</v>
      </c>
      <c r="I6" s="15" t="n">
        <v>1237.62773405888</v>
      </c>
      <c r="J6" s="6" t="n">
        <v>866.882138734971</v>
      </c>
      <c r="K6" s="6" t="n">
        <v>1664.06750157562</v>
      </c>
      <c r="L6" s="6" t="n">
        <v>1272.4678547486</v>
      </c>
      <c r="M6" s="6" t="n">
        <v>871.281207967597</v>
      </c>
      <c r="N6" s="6" t="n">
        <v>1702.37834741948</v>
      </c>
      <c r="O6" s="6" t="n">
        <f aca="false">S6*O24</f>
        <v>69155478.584995</v>
      </c>
      <c r="P6" s="6" t="n">
        <f aca="false">S6*P24</f>
        <v>58703471.1362699</v>
      </c>
      <c r="Q6" s="6" t="n">
        <f aca="false">S6*Q24</f>
        <v>81355134.6870346</v>
      </c>
      <c r="R6" s="6" t="n">
        <f aca="false">O6/C6</f>
        <v>6054.8962763887</v>
      </c>
      <c r="S6" s="6" t="n">
        <f aca="false">C6/C24</f>
        <v>0.0830187086992601</v>
      </c>
    </row>
    <row r="7" s="5" customFormat="true" ht="14.25" hidden="false" customHeight="true" outlineLevel="0" collapsed="false">
      <c r="A7" s="5" t="s">
        <v>124</v>
      </c>
      <c r="B7" s="5" t="s">
        <v>26</v>
      </c>
      <c r="C7" s="6" t="n">
        <v>1223480.52821923</v>
      </c>
      <c r="D7" s="6" t="n">
        <v>982655.42465917</v>
      </c>
      <c r="E7" s="6" t="n">
        <v>1503567.69203346</v>
      </c>
      <c r="F7" s="6" t="n">
        <v>1426057.19341919</v>
      </c>
      <c r="G7" s="6" t="n">
        <v>1144457.9292221</v>
      </c>
      <c r="H7" s="6" t="n">
        <v>1763563.8017816</v>
      </c>
      <c r="I7" s="15" t="n">
        <v>50016.1192413154</v>
      </c>
      <c r="J7" s="6" t="n">
        <v>33924.6697965151</v>
      </c>
      <c r="K7" s="6" t="n">
        <v>69750.1238989963</v>
      </c>
      <c r="L7" s="6" t="n">
        <v>58066.4718821349</v>
      </c>
      <c r="M7" s="6" t="n">
        <v>39772.5812626261</v>
      </c>
      <c r="N7" s="6" t="n">
        <v>80198.4533918684</v>
      </c>
      <c r="O7" s="6" t="n">
        <v>655165641.2</v>
      </c>
      <c r="P7" s="6" t="n">
        <v>570488800.02</v>
      </c>
      <c r="Q7" s="6" t="n">
        <v>750873540.86</v>
      </c>
      <c r="R7" s="6" t="n">
        <f aca="false">O7/C7</f>
        <v>535.493312798031</v>
      </c>
      <c r="S7" s="6"/>
    </row>
    <row r="8" s="5" customFormat="true" ht="14.25" hidden="false" customHeight="true" outlineLevel="0" collapsed="false">
      <c r="A8" s="5" t="s">
        <v>124</v>
      </c>
      <c r="B8" s="5" t="s">
        <v>22</v>
      </c>
      <c r="C8" s="6" t="n">
        <v>2564579.79406526</v>
      </c>
      <c r="D8" s="7" t="n">
        <v>2374355.34802568</v>
      </c>
      <c r="E8" s="7" t="n">
        <v>2754804.24010484</v>
      </c>
      <c r="F8" s="6" t="n">
        <v>2492936.44781337</v>
      </c>
      <c r="G8" s="7" t="n">
        <v>2311612.85798027</v>
      </c>
      <c r="H8" s="7" t="n">
        <v>2674260.03764646</v>
      </c>
      <c r="I8" s="6" t="n">
        <f aca="false">I25-I7</f>
        <v>89406.0108121506</v>
      </c>
      <c r="J8" s="6" t="n">
        <f aca="false">J25-J7</f>
        <v>66700.9055294329</v>
      </c>
      <c r="K8" s="6" t="n">
        <f aca="false">K25-K7</f>
        <v>124658.597246972</v>
      </c>
      <c r="L8" s="6" t="n">
        <f aca="false">L25-L7</f>
        <v>87563.3722374071</v>
      </c>
      <c r="M8" s="6" t="n">
        <f aca="false">M25-M7</f>
        <v>64802.3993996789</v>
      </c>
      <c r="N8" s="6" t="n">
        <f aca="false">N25-N7</f>
        <v>122270.168286315</v>
      </c>
      <c r="O8" s="5" t="n">
        <v>2469945134.24</v>
      </c>
      <c r="P8" s="5" t="n">
        <v>2136550078.03</v>
      </c>
      <c r="Q8" s="5" t="n">
        <v>2816506719.74</v>
      </c>
    </row>
    <row r="9" s="5" customFormat="true" ht="14.25" hidden="false" customHeight="true" outlineLevel="0" collapsed="false">
      <c r="A9" s="5" t="s">
        <v>124</v>
      </c>
      <c r="B9" s="5" t="s">
        <v>120</v>
      </c>
      <c r="C9" s="6" t="n">
        <v>1586857.44091928</v>
      </c>
      <c r="D9" s="6" t="n">
        <v>1296079.83772563</v>
      </c>
      <c r="E9" s="6" t="n">
        <v>1928842.11551264</v>
      </c>
      <c r="F9" s="6" t="n">
        <v>1596046.27723051</v>
      </c>
      <c r="G9" s="6" t="n">
        <v>1311524.74072682</v>
      </c>
      <c r="H9" s="6" t="n">
        <v>1954865.12870695</v>
      </c>
      <c r="I9" s="15" t="n">
        <v>177031.062199665</v>
      </c>
      <c r="J9" s="6" t="n">
        <v>118246.372315967</v>
      </c>
      <c r="K9" s="6" t="n">
        <v>248164.583492462</v>
      </c>
      <c r="L9" s="6" t="n">
        <v>177373.739350071</v>
      </c>
      <c r="M9" s="6" t="n">
        <v>117952.415611892</v>
      </c>
      <c r="N9" s="6" t="n">
        <v>250633.364621481</v>
      </c>
      <c r="O9" s="6" t="n">
        <v>647572693.81</v>
      </c>
      <c r="P9" s="6" t="n">
        <v>554172271.45</v>
      </c>
      <c r="Q9" s="6" t="n">
        <v>734413554.96</v>
      </c>
      <c r="R9" s="6" t="n">
        <f aca="false">O9/C9</f>
        <v>408.084984266044</v>
      </c>
      <c r="S9" s="6"/>
    </row>
    <row r="10" s="5" customFormat="true" ht="14.25" hidden="false" customHeight="true" outlineLevel="0" collapsed="false">
      <c r="A10" s="5" t="s">
        <v>124</v>
      </c>
      <c r="B10" s="5" t="s">
        <v>98</v>
      </c>
      <c r="C10" s="6" t="n">
        <v>1325.14924053173</v>
      </c>
      <c r="D10" s="6" t="n">
        <v>872.58222181701</v>
      </c>
      <c r="E10" s="6" t="n">
        <v>2140.46438263055</v>
      </c>
      <c r="F10" s="6" t="n">
        <v>1307.97363351457</v>
      </c>
      <c r="G10" s="6" t="n">
        <v>830.281293603181</v>
      </c>
      <c r="H10" s="6" t="n">
        <v>2113.31290683635</v>
      </c>
      <c r="I10" s="6" t="n">
        <v>135.518965077658</v>
      </c>
      <c r="J10" s="6" t="n">
        <v>80.6307264861392</v>
      </c>
      <c r="K10" s="6" t="n">
        <v>232.152084825238</v>
      </c>
      <c r="L10" s="6" t="n">
        <v>134.089424274485</v>
      </c>
      <c r="M10" s="6" t="n">
        <v>78.7988802213463</v>
      </c>
      <c r="N10" s="6" t="n">
        <v>223.059649883285</v>
      </c>
      <c r="O10" s="6" t="n">
        <v>94284409.02</v>
      </c>
      <c r="P10" s="6" t="n">
        <v>80119601.95</v>
      </c>
      <c r="Q10" s="6" t="n">
        <v>109112017.96</v>
      </c>
      <c r="R10" s="6" t="n">
        <f aca="false">O10/C10</f>
        <v>71150.0306049811</v>
      </c>
      <c r="S10" s="6"/>
    </row>
    <row r="11" s="5" customFormat="true" ht="14.25" hidden="false" customHeight="true" outlineLevel="0" collapsed="false">
      <c r="A11" s="5" t="s">
        <v>124</v>
      </c>
      <c r="B11" s="5" t="s">
        <v>44</v>
      </c>
      <c r="C11" s="6" t="n">
        <v>953.932491242456</v>
      </c>
      <c r="D11" s="6" t="n">
        <v>821.823725044751</v>
      </c>
      <c r="E11" s="6" t="n">
        <v>1095.15705886233</v>
      </c>
      <c r="F11" s="6" t="n">
        <v>1020.96445664557</v>
      </c>
      <c r="G11" s="6" t="n">
        <v>860.978721901624</v>
      </c>
      <c r="H11" s="6" t="n">
        <v>1198.69043753626</v>
      </c>
      <c r="I11" s="6" t="n">
        <v>202.462215481698</v>
      </c>
      <c r="J11" s="6" t="n">
        <v>148.045041084361</v>
      </c>
      <c r="K11" s="6" t="n">
        <v>271.951488575262</v>
      </c>
      <c r="L11" s="6" t="n">
        <v>216.638867661094</v>
      </c>
      <c r="M11" s="6" t="n">
        <v>158.851106402139</v>
      </c>
      <c r="N11" s="6" t="n">
        <v>292.515858558053</v>
      </c>
      <c r="O11" s="6" t="n">
        <v>159647320.68</v>
      </c>
      <c r="P11" s="6" t="n">
        <v>129941384.67</v>
      </c>
      <c r="Q11" s="6" t="n">
        <v>194185771.98</v>
      </c>
      <c r="R11" s="12" t="n">
        <f aca="false">O11/C11</f>
        <v>167357.042710712</v>
      </c>
      <c r="S11" s="6"/>
    </row>
    <row r="12" s="5" customFormat="true" ht="14.25" hidden="false" customHeight="true" outlineLevel="0" collapsed="false">
      <c r="A12" s="5" t="s">
        <v>124</v>
      </c>
      <c r="B12" s="5" t="s">
        <v>12</v>
      </c>
      <c r="C12" s="6" t="n">
        <v>8879.76901317935</v>
      </c>
      <c r="D12" s="6" t="n">
        <v>7065.21337297047</v>
      </c>
      <c r="E12" s="6" t="n">
        <v>11270.6614777044</v>
      </c>
      <c r="F12" s="6" t="n">
        <v>8942.09244737579</v>
      </c>
      <c r="G12" s="6" t="n">
        <v>7094.17052444113</v>
      </c>
      <c r="H12" s="6" t="n">
        <v>11363.2923807875</v>
      </c>
      <c r="I12" s="15" t="n">
        <v>2406.94036903881</v>
      </c>
      <c r="J12" s="6" t="n">
        <v>1509.23519316507</v>
      </c>
      <c r="K12" s="6" t="n">
        <v>3385.97851764827</v>
      </c>
      <c r="L12" s="6" t="n">
        <v>2401.14396236976</v>
      </c>
      <c r="M12" s="6" t="n">
        <v>1569.06006639363</v>
      </c>
      <c r="N12" s="6" t="n">
        <v>3311.9748768437</v>
      </c>
      <c r="O12" s="6" t="n">
        <v>249839861.91</v>
      </c>
      <c r="P12" s="6" t="n">
        <v>210621022.61</v>
      </c>
      <c r="Q12" s="6" t="n">
        <v>286361043.9</v>
      </c>
      <c r="R12" s="6" t="n">
        <f aca="false">O12/C12</f>
        <v>28135.8514550534</v>
      </c>
      <c r="S12" s="6"/>
    </row>
    <row r="13" s="5" customFormat="true" ht="14.25" hidden="false" customHeight="true" outlineLevel="0" collapsed="false">
      <c r="A13" s="5" t="s">
        <v>124</v>
      </c>
      <c r="B13" s="5" t="s">
        <v>113</v>
      </c>
      <c r="C13" s="6" t="n">
        <v>534641.027891628</v>
      </c>
      <c r="D13" s="6" t="n">
        <v>277541.81779542</v>
      </c>
      <c r="E13" s="6" t="n">
        <v>935916.746554857</v>
      </c>
      <c r="F13" s="6" t="n">
        <v>538447.306052351</v>
      </c>
      <c r="G13" s="6" t="n">
        <v>292860.286764523</v>
      </c>
      <c r="H13" s="6" t="n">
        <v>943711.290012613</v>
      </c>
      <c r="I13" s="6" t="n">
        <v>54512.9880915525</v>
      </c>
      <c r="J13" s="6" t="n">
        <v>27572.9927661645</v>
      </c>
      <c r="K13" s="6" t="n">
        <v>100723.668098788</v>
      </c>
      <c r="L13" s="6" t="n">
        <v>54690.2599561989</v>
      </c>
      <c r="M13" s="6" t="n">
        <v>27351.5268128999</v>
      </c>
      <c r="N13" s="6" t="n">
        <v>99287.9585031521</v>
      </c>
      <c r="O13" s="6" t="n">
        <v>301378278.15</v>
      </c>
      <c r="P13" s="6" t="n">
        <v>253975510.23</v>
      </c>
      <c r="Q13" s="6" t="n">
        <v>345733178.21</v>
      </c>
      <c r="R13" s="6" t="n">
        <f aca="false">O13/C13</f>
        <v>563.702114928392</v>
      </c>
      <c r="S13" s="6"/>
    </row>
    <row r="14" s="5" customFormat="true" ht="14.25" hidden="false" customHeight="true" outlineLevel="0" collapsed="false">
      <c r="A14" s="5" t="s">
        <v>124</v>
      </c>
      <c r="B14" s="5" t="s">
        <v>100</v>
      </c>
      <c r="C14" s="6" t="n">
        <v>36220.09</v>
      </c>
      <c r="D14" s="6" t="n">
        <v>30878.95</v>
      </c>
      <c r="E14" s="6" t="n">
        <v>41740.13</v>
      </c>
      <c r="F14" s="6" t="n">
        <v>36725.99</v>
      </c>
      <c r="G14" s="6" t="n">
        <v>31467.91</v>
      </c>
      <c r="H14" s="6" t="n">
        <v>42217.26</v>
      </c>
      <c r="I14" s="6" t="n">
        <v>7899.52</v>
      </c>
      <c r="J14" s="6" t="n">
        <v>5614.51</v>
      </c>
      <c r="K14" s="6" t="n">
        <v>10762.04</v>
      </c>
      <c r="L14" s="6" t="n">
        <v>8006.8</v>
      </c>
      <c r="M14" s="6" t="n">
        <v>5660.13</v>
      </c>
      <c r="N14" s="6" t="n">
        <v>11087.48</v>
      </c>
      <c r="O14" s="6" t="n">
        <v>1140095.89</v>
      </c>
      <c r="P14" s="6" t="n">
        <v>902388.71</v>
      </c>
      <c r="Q14" s="6" t="n">
        <v>1445845.12</v>
      </c>
      <c r="R14" s="12" t="n">
        <f aca="false">O14/C14</f>
        <v>31.4768927962355</v>
      </c>
      <c r="S14" s="6"/>
    </row>
    <row r="15" s="5" customFormat="true" ht="14.25" hidden="false" customHeight="true" outlineLevel="0" collapsed="false">
      <c r="A15" s="5" t="s">
        <v>124</v>
      </c>
      <c r="B15" s="5" t="s">
        <v>101</v>
      </c>
      <c r="C15" s="6" t="n">
        <v>302944.48</v>
      </c>
      <c r="D15" s="6" t="n">
        <v>255786.23</v>
      </c>
      <c r="E15" s="6" t="n">
        <v>350666.83</v>
      </c>
      <c r="F15" s="6" t="n">
        <v>307381.91</v>
      </c>
      <c r="G15" s="6" t="n">
        <v>259835.51</v>
      </c>
      <c r="H15" s="6" t="n">
        <v>359407.23</v>
      </c>
      <c r="I15" s="6" t="n">
        <v>37776.12</v>
      </c>
      <c r="J15" s="6" t="n">
        <v>28030.48</v>
      </c>
      <c r="K15" s="6" t="n">
        <v>48137.53</v>
      </c>
      <c r="L15" s="6" t="n">
        <v>37982.78</v>
      </c>
      <c r="M15" s="6" t="n">
        <v>27960.09</v>
      </c>
      <c r="N15" s="6" t="n">
        <v>49239.72</v>
      </c>
      <c r="O15" s="6" t="n">
        <v>188333933.28</v>
      </c>
      <c r="P15" s="6" t="n">
        <v>156820189.36</v>
      </c>
      <c r="Q15" s="6" t="n">
        <v>228793489.3</v>
      </c>
      <c r="R15" s="12" t="n">
        <f aca="false">O15/C15</f>
        <v>621.678048994324</v>
      </c>
      <c r="S15" s="6"/>
    </row>
    <row r="16" s="5" customFormat="true" ht="14.25" hidden="false" customHeight="true" outlineLevel="0" collapsed="false">
      <c r="A16" s="5" t="s">
        <v>124</v>
      </c>
      <c r="B16" s="5" t="s">
        <v>105</v>
      </c>
      <c r="C16" s="6" t="n">
        <v>12610.67</v>
      </c>
      <c r="D16" s="6" t="n">
        <v>4633.26</v>
      </c>
      <c r="E16" s="6" t="n">
        <v>23139.66</v>
      </c>
      <c r="F16" s="6" t="n">
        <v>12976.46</v>
      </c>
      <c r="G16" s="6" t="n">
        <v>4800.05</v>
      </c>
      <c r="H16" s="6" t="n">
        <v>23872.51</v>
      </c>
      <c r="I16" s="6" t="n">
        <v>1602.91</v>
      </c>
      <c r="J16" s="6" t="n">
        <v>768.07</v>
      </c>
      <c r="K16" s="6" t="n">
        <v>2819.96</v>
      </c>
      <c r="L16" s="6" t="n">
        <v>1669.99</v>
      </c>
      <c r="M16" s="6" t="n">
        <v>841.33</v>
      </c>
      <c r="N16" s="6" t="n">
        <v>2911.2</v>
      </c>
      <c r="O16" s="6" t="n">
        <f aca="false">S16*O24</f>
        <v>76356298.8257667</v>
      </c>
      <c r="P16" s="6" t="n">
        <f aca="false">S16*P24</f>
        <v>64815975.1896122</v>
      </c>
      <c r="Q16" s="6" t="n">
        <f aca="false">S16*Q24</f>
        <v>89826245.1837267</v>
      </c>
      <c r="R16" s="6" t="n">
        <f aca="false">O16/C16</f>
        <v>6054.8962763887</v>
      </c>
      <c r="S16" s="6" t="n">
        <f aca="false">C16/C24</f>
        <v>0.0916630389851049</v>
      </c>
    </row>
    <row r="17" customFormat="false" ht="14.25" hidden="false" customHeight="true" outlineLevel="0" collapsed="false">
      <c r="A17" s="1" t="s">
        <v>124</v>
      </c>
      <c r="B17" s="1" t="s">
        <v>110</v>
      </c>
      <c r="C17" s="12" t="n">
        <v>2844834.64152573</v>
      </c>
      <c r="D17" s="12" t="n">
        <v>2590898.46150874</v>
      </c>
      <c r="E17" s="12" t="n">
        <v>3127722.99826942</v>
      </c>
      <c r="F17" s="12" t="n">
        <v>2858186.97535956</v>
      </c>
      <c r="G17" s="12" t="n">
        <v>2605490.78250698</v>
      </c>
      <c r="H17" s="12" t="n">
        <v>3145894.29251343</v>
      </c>
      <c r="I17" s="12" t="n">
        <v>254070.132750382</v>
      </c>
      <c r="J17" s="12" t="n">
        <v>174752.790274732</v>
      </c>
      <c r="K17" s="12" t="n">
        <v>337229.990458924</v>
      </c>
      <c r="L17" s="12" t="n">
        <v>254096.784803923</v>
      </c>
      <c r="M17" s="12" t="n">
        <v>176845.253212852</v>
      </c>
      <c r="N17" s="12" t="n">
        <v>341180.826601032</v>
      </c>
      <c r="O17" s="12" t="n">
        <v>2889733985.45</v>
      </c>
      <c r="P17" s="12" t="n">
        <v>2554773269.33</v>
      </c>
      <c r="Q17" s="12" t="n">
        <v>3304974753.72</v>
      </c>
      <c r="R17" s="12" t="n">
        <f aca="false">O17/C17</f>
        <v>1015.78276054041</v>
      </c>
      <c r="S17" s="12"/>
    </row>
    <row r="18" s="5" customFormat="true" ht="14.25" hidden="false" customHeight="true" outlineLevel="0" collapsed="false">
      <c r="A18" s="5" t="s">
        <v>124</v>
      </c>
      <c r="B18" s="5" t="s">
        <v>5</v>
      </c>
      <c r="C18" s="6" t="n">
        <v>190818.5</v>
      </c>
      <c r="D18" s="6" t="n">
        <v>137281.42</v>
      </c>
      <c r="E18" s="6" t="n">
        <v>245378.1</v>
      </c>
      <c r="F18" s="6" t="n">
        <v>137793.82</v>
      </c>
      <c r="G18" s="6" t="n">
        <v>101566.16</v>
      </c>
      <c r="H18" s="6" t="n">
        <v>177332.43</v>
      </c>
      <c r="I18" s="6" t="n">
        <v>7524.4</v>
      </c>
      <c r="J18" s="6" t="n">
        <v>3620.85</v>
      </c>
      <c r="K18" s="6" t="n">
        <v>12492.71</v>
      </c>
      <c r="L18" s="6" t="n">
        <v>5562.92</v>
      </c>
      <c r="M18" s="6" t="n">
        <v>2744.64</v>
      </c>
      <c r="N18" s="6" t="n">
        <v>9442.75</v>
      </c>
      <c r="O18" s="6" t="n">
        <f aca="false">S18*O26</f>
        <v>21574901.1888597</v>
      </c>
      <c r="P18" s="6" t="n">
        <f aca="false">S18*P26</f>
        <v>18550619.3558418</v>
      </c>
      <c r="Q18" s="6" t="n">
        <f aca="false">S18*Q26</f>
        <v>25068189.3107102</v>
      </c>
      <c r="R18" s="6" t="n">
        <f aca="false">O18/C18</f>
        <v>113.065039232882</v>
      </c>
      <c r="S18" s="6" t="n">
        <f aca="false">C18/C26</f>
        <v>0.124040923633841</v>
      </c>
    </row>
    <row r="19" s="5" customFormat="true" ht="14.25" hidden="false" customHeight="true" outlineLevel="0" collapsed="false">
      <c r="A19" s="5" t="s">
        <v>124</v>
      </c>
      <c r="B19" s="5" t="s">
        <v>114</v>
      </c>
      <c r="C19" s="6" t="n">
        <v>17954.8048332918</v>
      </c>
      <c r="D19" s="6" t="n">
        <v>14683.2374929195</v>
      </c>
      <c r="E19" s="6" t="n">
        <v>21366.0051702059</v>
      </c>
      <c r="F19" s="6" t="n">
        <v>18245.4183024791</v>
      </c>
      <c r="G19" s="6" t="n">
        <v>14934.2054367216</v>
      </c>
      <c r="H19" s="6" t="n">
        <v>21614.5350069632</v>
      </c>
      <c r="I19" s="6" t="n">
        <v>2514.80493929495</v>
      </c>
      <c r="J19" s="6" t="n">
        <v>1636.85440523118</v>
      </c>
      <c r="K19" s="6" t="n">
        <v>3662.35779465377</v>
      </c>
      <c r="L19" s="6" t="n">
        <v>2537.34148602582</v>
      </c>
      <c r="M19" s="6" t="n">
        <v>1576.39886031536</v>
      </c>
      <c r="N19" s="6" t="n">
        <v>3549.14080407062</v>
      </c>
      <c r="O19" s="6" t="n">
        <v>168116004.16</v>
      </c>
      <c r="P19" s="6" t="n">
        <v>141665957.38</v>
      </c>
      <c r="Q19" s="6" t="n">
        <v>192903183.03</v>
      </c>
      <c r="R19" s="6" t="n">
        <f aca="false">O19/C19</f>
        <v>9363.28775060141</v>
      </c>
      <c r="S19" s="6"/>
    </row>
    <row r="20" s="5" customFormat="true" ht="14.25" hidden="false" customHeight="true" outlineLevel="0" collapsed="false">
      <c r="A20" s="5" t="s">
        <v>124</v>
      </c>
      <c r="B20" s="5" t="s">
        <v>106</v>
      </c>
      <c r="C20" s="6" t="n">
        <v>2534.02</v>
      </c>
      <c r="D20" s="6" t="n">
        <v>1952.54</v>
      </c>
      <c r="E20" s="6" t="n">
        <v>3120.51</v>
      </c>
      <c r="F20" s="6" t="n">
        <v>2481.69</v>
      </c>
      <c r="G20" s="6" t="n">
        <v>1948.32</v>
      </c>
      <c r="H20" s="6" t="n">
        <v>3011.16</v>
      </c>
      <c r="I20" s="6" t="n">
        <v>247.79</v>
      </c>
      <c r="J20" s="6" t="n">
        <v>157.34</v>
      </c>
      <c r="K20" s="6" t="n">
        <v>341.27</v>
      </c>
      <c r="L20" s="6" t="n">
        <v>242.01</v>
      </c>
      <c r="M20" s="6" t="n">
        <v>161.71</v>
      </c>
      <c r="N20" s="6" t="n">
        <v>337.65</v>
      </c>
      <c r="O20" s="6" t="n">
        <v>45237910.73</v>
      </c>
      <c r="P20" s="6" t="n">
        <v>38002206.83</v>
      </c>
      <c r="Q20" s="6" t="n">
        <v>53905471.65</v>
      </c>
      <c r="R20" s="6" t="n">
        <f aca="false">O20/C20</f>
        <v>17852.2311307725</v>
      </c>
      <c r="S20" s="6"/>
    </row>
    <row r="21" s="5" customFormat="true" ht="14.25" hidden="false" customHeight="true" outlineLevel="0" collapsed="false">
      <c r="A21" s="5" t="s">
        <v>124</v>
      </c>
      <c r="B21" s="5" t="s">
        <v>41</v>
      </c>
      <c r="C21" s="6" t="n">
        <v>85159.4338416394</v>
      </c>
      <c r="D21" s="6" t="n">
        <v>74265.3143923336</v>
      </c>
      <c r="E21" s="6" t="n">
        <v>95785.7675832505</v>
      </c>
      <c r="F21" s="6" t="n">
        <v>83600.4729602293</v>
      </c>
      <c r="G21" s="6" t="n">
        <v>71434.0894212992</v>
      </c>
      <c r="H21" s="6" t="n">
        <v>97014.8378277987</v>
      </c>
      <c r="I21" s="6" t="n">
        <v>11428.0874448443</v>
      </c>
      <c r="J21" s="6" t="n">
        <v>8147.04821163826</v>
      </c>
      <c r="K21" s="6" t="n">
        <v>14986.358310999</v>
      </c>
      <c r="L21" s="6" t="n">
        <v>11183.5657322117</v>
      </c>
      <c r="M21" s="6" t="n">
        <v>7826.61075522447</v>
      </c>
      <c r="N21" s="6" t="n">
        <v>14747.5855436444</v>
      </c>
      <c r="O21" s="6" t="n">
        <v>222854299.07</v>
      </c>
      <c r="P21" s="6" t="n">
        <v>192941440.56</v>
      </c>
      <c r="Q21" s="6" t="n">
        <v>261576006.18</v>
      </c>
      <c r="R21" s="6" t="n">
        <f aca="false">O21/C21</f>
        <v>2616.90677141437</v>
      </c>
      <c r="S21" s="6"/>
    </row>
    <row r="24" s="5" customFormat="true" ht="14.25" hidden="false" customHeight="true" outlineLevel="0" collapsed="false">
      <c r="B24" s="5" t="s">
        <v>107</v>
      </c>
      <c r="C24" s="6" t="n">
        <v>137576.39</v>
      </c>
      <c r="D24" s="6" t="n">
        <v>125331.69</v>
      </c>
      <c r="E24" s="6" t="n">
        <v>151773.17</v>
      </c>
      <c r="F24" s="6" t="n">
        <v>140613.01</v>
      </c>
      <c r="G24" s="6" t="n">
        <v>126725.79</v>
      </c>
      <c r="H24" s="6" t="n">
        <v>156818.66</v>
      </c>
      <c r="I24" s="6" t="n">
        <v>13728.53</v>
      </c>
      <c r="J24" s="6" t="n">
        <v>9701.19</v>
      </c>
      <c r="K24" s="6" t="n">
        <v>18500.58</v>
      </c>
      <c r="L24" s="6" t="n">
        <v>13974.13</v>
      </c>
      <c r="M24" s="6" t="n">
        <v>9816.56</v>
      </c>
      <c r="N24" s="6" t="n">
        <v>18920.25</v>
      </c>
      <c r="O24" s="6" t="n">
        <v>833010771.53</v>
      </c>
      <c r="P24" s="6" t="n">
        <v>707111349.43</v>
      </c>
      <c r="Q24" s="6" t="n">
        <v>979961456.42</v>
      </c>
      <c r="R24" s="6" t="n">
        <f aca="false">O24/C24</f>
        <v>6054.8962763887</v>
      </c>
      <c r="S24" s="6"/>
    </row>
    <row r="25" s="5" customFormat="true" ht="14.25" hidden="false" customHeight="true" outlineLevel="0" collapsed="false">
      <c r="B25" s="5" t="s">
        <v>109</v>
      </c>
      <c r="C25" s="6" t="n">
        <v>4112752.20329608</v>
      </c>
      <c r="D25" s="6" t="n">
        <v>3734112.60198514</v>
      </c>
      <c r="E25" s="6" t="n">
        <v>4548758.66528324</v>
      </c>
      <c r="F25" s="6" t="n">
        <v>4231277.64893704</v>
      </c>
      <c r="G25" s="6" t="n">
        <v>3823730.7260689</v>
      </c>
      <c r="H25" s="6" t="n">
        <v>4659441.59937252</v>
      </c>
      <c r="I25" s="6" t="n">
        <v>139422.130053466</v>
      </c>
      <c r="J25" s="6" t="n">
        <v>100625.575325948</v>
      </c>
      <c r="K25" s="6" t="n">
        <v>194408.721145968</v>
      </c>
      <c r="L25" s="6" t="n">
        <v>145629.844119542</v>
      </c>
      <c r="M25" s="6" t="n">
        <v>104574.980662305</v>
      </c>
      <c r="N25" s="6" t="n">
        <v>202468.621678183</v>
      </c>
      <c r="O25" s="6" t="n">
        <f aca="false">O8+O7</f>
        <v>3125110775.44</v>
      </c>
      <c r="P25" s="6" t="n">
        <f aca="false">P8+P7</f>
        <v>2707038878.05</v>
      </c>
      <c r="Q25" s="6" t="n">
        <f aca="false">Q8+Q7</f>
        <v>3567380260.6</v>
      </c>
      <c r="R25" s="6" t="n">
        <f aca="false">O25/C25</f>
        <v>759.858756609612</v>
      </c>
      <c r="S25" s="6"/>
    </row>
    <row r="26" s="5" customFormat="true" ht="14.25" hidden="false" customHeight="true" outlineLevel="0" collapsed="false">
      <c r="B26" s="5" t="s">
        <v>108</v>
      </c>
      <c r="C26" s="6" t="n">
        <v>1538351.17</v>
      </c>
      <c r="D26" s="6" t="n">
        <v>1118096.23</v>
      </c>
      <c r="E26" s="6" t="n">
        <v>2097503.86</v>
      </c>
      <c r="F26" s="6" t="n">
        <v>1463820.73</v>
      </c>
      <c r="G26" s="6" t="n">
        <v>975598.01</v>
      </c>
      <c r="H26" s="6" t="n">
        <v>2099429.71</v>
      </c>
      <c r="I26" s="6" t="n">
        <v>30507.45</v>
      </c>
      <c r="J26" s="6" t="n">
        <v>17163.64</v>
      </c>
      <c r="K26" s="6" t="n">
        <v>48071.14</v>
      </c>
      <c r="L26" s="6" t="n">
        <v>27276.97</v>
      </c>
      <c r="M26" s="6" t="n">
        <v>14395.56</v>
      </c>
      <c r="N26" s="6" t="n">
        <v>44938.9</v>
      </c>
      <c r="O26" s="6" t="n">
        <v>173933735.39</v>
      </c>
      <c r="P26" s="6" t="n">
        <v>149552412.32</v>
      </c>
      <c r="Q26" s="6" t="n">
        <v>202096119.38</v>
      </c>
      <c r="R26" s="6" t="n">
        <f aca="false">O26/C26</f>
        <v>113.065039232882</v>
      </c>
      <c r="S26" s="6"/>
    </row>
    <row r="28" customFormat="false" ht="14.25" hidden="false" customHeight="true" outlineLevel="0" collapsed="false">
      <c r="C28" s="1" t="s">
        <v>125</v>
      </c>
      <c r="D28" s="1" t="n">
        <f aca="false">C7/C25</f>
        <v>0.297484620454083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2.22"/>
    <col collapsed="false" customWidth="true" hidden="false" outlineLevel="0" max="3" min="3" style="1" width="11.33"/>
    <col collapsed="false" customWidth="true" hidden="true" outlineLevel="0" max="4" min="4" style="1" width="11.44"/>
    <col collapsed="false" customWidth="true" hidden="true" outlineLevel="0" max="5" min="5" style="1" width="10.56"/>
    <col collapsed="false" customWidth="true" hidden="true" outlineLevel="0" max="6" min="6" style="1" width="17.67"/>
    <col collapsed="false" customWidth="true" hidden="true" outlineLevel="0" max="8" min="7" style="1" width="10.56"/>
    <col collapsed="false" customWidth="true" hidden="true" outlineLevel="0" max="9" min="9" style="1" width="22.33"/>
    <col collapsed="false" customWidth="true" hidden="true" outlineLevel="0" max="14" min="10" style="1" width="9.56"/>
    <col collapsed="false" customWidth="true" hidden="false" outlineLevel="0" max="17" min="15" style="1" width="13.67"/>
    <col collapsed="false" customWidth="true" hidden="false" outlineLevel="0" max="18" min="18" style="1" width="15.22"/>
    <col collapsed="false" customWidth="true" hidden="false" outlineLevel="0" max="19" min="19" style="1" width="18.22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126</v>
      </c>
      <c r="B2" s="5" t="s">
        <v>94</v>
      </c>
      <c r="C2" s="6" t="n">
        <v>5340.45186046744</v>
      </c>
      <c r="D2" s="6" t="n">
        <v>3034.47522254097</v>
      </c>
      <c r="E2" s="6" t="n">
        <v>8201.63034315162</v>
      </c>
      <c r="F2" s="6" t="n">
        <v>5183.51500204179</v>
      </c>
      <c r="G2" s="6" t="n">
        <v>2970.44241538689</v>
      </c>
      <c r="H2" s="6" t="n">
        <v>8012.19501814392</v>
      </c>
      <c r="I2" s="6" t="n">
        <v>410.909412000092</v>
      </c>
      <c r="J2" s="6" t="n">
        <v>232.875325125178</v>
      </c>
      <c r="K2" s="6" t="n">
        <v>648.70097677648</v>
      </c>
      <c r="L2" s="6" t="n">
        <v>395.547604529068</v>
      </c>
      <c r="M2" s="6" t="n">
        <v>207.049911003813</v>
      </c>
      <c r="N2" s="6" t="n">
        <v>694.183473806345</v>
      </c>
      <c r="O2" s="6" t="n">
        <v>200530187.65</v>
      </c>
      <c r="P2" s="6" t="n">
        <v>166906256.94</v>
      </c>
      <c r="Q2" s="6" t="n">
        <v>229033005.54</v>
      </c>
      <c r="R2" s="6" t="n">
        <f aca="false">O2/C2</f>
        <v>37549.2922489237</v>
      </c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126</v>
      </c>
      <c r="B3" s="5" t="s">
        <v>97</v>
      </c>
      <c r="C3" s="6" t="n">
        <v>36160.9114950466</v>
      </c>
      <c r="D3" s="6" t="n">
        <v>29619.2311289215</v>
      </c>
      <c r="E3" s="6" t="n">
        <v>43877.4104925576</v>
      </c>
      <c r="F3" s="6" t="n">
        <v>33746.0892627172</v>
      </c>
      <c r="G3" s="6" t="n">
        <v>26824.790304756</v>
      </c>
      <c r="H3" s="6" t="n">
        <v>42360.4340003293</v>
      </c>
      <c r="I3" s="6" t="n">
        <v>5374.26395441805</v>
      </c>
      <c r="J3" s="6" t="n">
        <v>3425.46437885329</v>
      </c>
      <c r="K3" s="6" t="n">
        <v>7735.38041084439</v>
      </c>
      <c r="L3" s="6" t="n">
        <v>5000.88909153519</v>
      </c>
      <c r="M3" s="6" t="n">
        <v>3134.53851733883</v>
      </c>
      <c r="N3" s="6" t="n">
        <v>7226.27156522645</v>
      </c>
      <c r="O3" s="6" t="n">
        <f aca="false">S3*O23</f>
        <v>162280631.331669</v>
      </c>
      <c r="P3" s="6" t="n">
        <f aca="false">S3*P23</f>
        <v>138715345.283177</v>
      </c>
      <c r="Q3" s="6" t="n">
        <f aca="false">S3*Q23</f>
        <v>188053618.39211</v>
      </c>
      <c r="R3" s="6" t="n">
        <f aca="false">O3/C3</f>
        <v>4487.73619420236</v>
      </c>
      <c r="S3" s="5" t="n">
        <f aca="false">C3/C23</f>
        <v>0.266127669875818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126</v>
      </c>
      <c r="B4" s="5" t="s">
        <v>119</v>
      </c>
      <c r="C4" s="6" t="n">
        <v>115204.710226027</v>
      </c>
      <c r="D4" s="6" t="n">
        <v>94844.0634287836</v>
      </c>
      <c r="E4" s="6" t="n">
        <v>137804.200514505</v>
      </c>
      <c r="F4" s="6" t="n">
        <v>129174.404256885</v>
      </c>
      <c r="G4" s="6" t="n">
        <v>105687.366261299</v>
      </c>
      <c r="H4" s="6" t="n">
        <v>158332.418347296</v>
      </c>
      <c r="I4" s="6" t="n">
        <v>6039.11399733156</v>
      </c>
      <c r="J4" s="6" t="n">
        <v>3878.34578832512</v>
      </c>
      <c r="K4" s="6" t="n">
        <v>9114.36800985149</v>
      </c>
      <c r="L4" s="6" t="n">
        <v>6756.21472384727</v>
      </c>
      <c r="M4" s="6" t="n">
        <v>4259.97915347944</v>
      </c>
      <c r="N4" s="6" t="n">
        <v>10182.7331017232</v>
      </c>
      <c r="O4" s="6" t="n">
        <v>763119312.12</v>
      </c>
      <c r="P4" s="6" t="n">
        <v>657129783.46</v>
      </c>
      <c r="Q4" s="6" t="n">
        <v>867824255.74</v>
      </c>
      <c r="R4" s="6" t="n">
        <f aca="false">O4/C4</f>
        <v>6624.02874520313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126</v>
      </c>
      <c r="B5" s="5" t="s">
        <v>122</v>
      </c>
      <c r="C5" s="6" t="n">
        <v>292602.847835577</v>
      </c>
      <c r="D5" s="6" t="n">
        <v>248040.594123882</v>
      </c>
      <c r="E5" s="6" t="n">
        <v>344373.356069586</v>
      </c>
      <c r="F5" s="6" t="n">
        <v>299185.115752329</v>
      </c>
      <c r="G5" s="6" t="n">
        <v>245856.980207193</v>
      </c>
      <c r="H5" s="6" t="n">
        <v>357302.716097457</v>
      </c>
      <c r="I5" s="6" t="n">
        <v>15375.1443735858</v>
      </c>
      <c r="J5" s="6" t="n">
        <v>9715.2015506405</v>
      </c>
      <c r="K5" s="6" t="n">
        <v>22189.0937172551</v>
      </c>
      <c r="L5" s="6" t="n">
        <v>15653.2285579135</v>
      </c>
      <c r="M5" s="6" t="n">
        <v>9554.22469615561</v>
      </c>
      <c r="N5" s="6" t="n">
        <v>23081.1308913482</v>
      </c>
      <c r="O5" s="6" t="n">
        <v>1802167532.67</v>
      </c>
      <c r="P5" s="6" t="n">
        <v>1580991851.34</v>
      </c>
      <c r="Q5" s="6" t="n">
        <v>2095432495.38</v>
      </c>
      <c r="R5" s="6" t="n">
        <f aca="false">O5/C5</f>
        <v>6159.09088377259</v>
      </c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126</v>
      </c>
      <c r="B6" s="5" t="s">
        <v>37</v>
      </c>
      <c r="C6" s="6" t="n">
        <v>11944.7813108922</v>
      </c>
      <c r="D6" s="6" t="n">
        <v>10597.332673548</v>
      </c>
      <c r="E6" s="6" t="n">
        <v>13489.9759759565</v>
      </c>
      <c r="F6" s="6" t="n">
        <v>11604.9516032457</v>
      </c>
      <c r="G6" s="6" t="n">
        <v>10005.2425967474</v>
      </c>
      <c r="H6" s="6" t="n">
        <v>13515.9235363374</v>
      </c>
      <c r="I6" s="6" t="n">
        <v>1293.48364262919</v>
      </c>
      <c r="J6" s="6" t="n">
        <v>910.667456575178</v>
      </c>
      <c r="K6" s="6" t="n">
        <v>1757.71889359835</v>
      </c>
      <c r="L6" s="6" t="n">
        <v>1257.01716180511</v>
      </c>
      <c r="M6" s="6" t="n">
        <v>868.759502281145</v>
      </c>
      <c r="N6" s="6" t="n">
        <v>1690.81581689386</v>
      </c>
      <c r="O6" s="6" t="n">
        <f aca="false">S6*O23</f>
        <v>53605027.4207229</v>
      </c>
      <c r="P6" s="6" t="n">
        <f aca="false">S6*P23</f>
        <v>45820871.0833911</v>
      </c>
      <c r="Q6" s="6" t="n">
        <f aca="false">S6*Q23</f>
        <v>62118438.2125829</v>
      </c>
      <c r="R6" s="6" t="n">
        <f aca="false">O6/C6</f>
        <v>4487.73619420236</v>
      </c>
      <c r="S6" s="5" t="n">
        <f aca="false">C6/C23</f>
        <v>0.0879080942934584</v>
      </c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126</v>
      </c>
      <c r="B7" s="5" t="s">
        <v>26</v>
      </c>
      <c r="C7" s="6" t="n">
        <v>1579099.81467619</v>
      </c>
      <c r="D7" s="6" t="n">
        <v>1293400.71207969</v>
      </c>
      <c r="E7" s="6" t="n">
        <v>1948110.60239846</v>
      </c>
      <c r="F7" s="6" t="n">
        <v>1715155.15600916</v>
      </c>
      <c r="G7" s="6" t="n">
        <v>1401717.05942056</v>
      </c>
      <c r="H7" s="6" t="n">
        <v>2118840.3264663</v>
      </c>
      <c r="I7" s="6" t="n">
        <v>65024.5209982586</v>
      </c>
      <c r="J7" s="6" t="n">
        <v>45990.0228078447</v>
      </c>
      <c r="K7" s="6" t="n">
        <v>90572.5732543927</v>
      </c>
      <c r="L7" s="6" t="n">
        <v>70264.2914222994</v>
      </c>
      <c r="M7" s="6" t="n">
        <v>49696.9621604874</v>
      </c>
      <c r="N7" s="6" t="n">
        <v>98330.0930034543</v>
      </c>
      <c r="O7" s="6" t="n">
        <v>665943419.58</v>
      </c>
      <c r="P7" s="6" t="n">
        <v>572509684.4</v>
      </c>
      <c r="Q7" s="6" t="n">
        <v>751235421.06</v>
      </c>
      <c r="R7" s="6" t="n">
        <f aca="false">O7/C7</f>
        <v>421.723448632383</v>
      </c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126</v>
      </c>
      <c r="B8" s="5" t="s">
        <v>120</v>
      </c>
      <c r="C8" s="6" t="n">
        <v>2267606.76644078</v>
      </c>
      <c r="D8" s="6" t="n">
        <v>1866864.90024411</v>
      </c>
      <c r="E8" s="6" t="n">
        <v>2726804.32939623</v>
      </c>
      <c r="F8" s="6" t="n">
        <v>2144975.43721694</v>
      </c>
      <c r="G8" s="6" t="n">
        <v>1749488.67132472</v>
      </c>
      <c r="H8" s="6" t="n">
        <v>2579052.66267294</v>
      </c>
      <c r="I8" s="6" t="n">
        <v>259270.885667708</v>
      </c>
      <c r="J8" s="6" t="n">
        <v>175691.582223809</v>
      </c>
      <c r="K8" s="6" t="n">
        <v>366718.110459207</v>
      </c>
      <c r="L8" s="6" t="n">
        <v>243911.008778605</v>
      </c>
      <c r="M8" s="6" t="n">
        <v>167459.630428205</v>
      </c>
      <c r="N8" s="6" t="n">
        <v>351785.593745002</v>
      </c>
      <c r="O8" s="6" t="n">
        <v>1143416652.89</v>
      </c>
      <c r="P8" s="6" t="n">
        <v>974481197.78</v>
      </c>
      <c r="Q8" s="6" t="n">
        <v>1308867251.69</v>
      </c>
      <c r="R8" s="6" t="n">
        <f aca="false">O8/C8</f>
        <v>504.239390097031</v>
      </c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126</v>
      </c>
      <c r="B9" s="5" t="s">
        <v>98</v>
      </c>
      <c r="C9" s="6" t="n">
        <v>1585.43470535389</v>
      </c>
      <c r="D9" s="6" t="n">
        <v>962.55367540694</v>
      </c>
      <c r="E9" s="6" t="n">
        <v>2906.73798120534</v>
      </c>
      <c r="F9" s="6" t="n">
        <v>1511.33757116801</v>
      </c>
      <c r="G9" s="6" t="n">
        <v>879.212469948199</v>
      </c>
      <c r="H9" s="6" t="n">
        <v>2731.77149354237</v>
      </c>
      <c r="I9" s="6" t="n">
        <v>151.627601803197</v>
      </c>
      <c r="J9" s="6" t="n">
        <v>81.8847016001722</v>
      </c>
      <c r="K9" s="6" t="n">
        <v>280.802792898135</v>
      </c>
      <c r="L9" s="6" t="n">
        <v>144.297211423958</v>
      </c>
      <c r="M9" s="6" t="n">
        <v>74.9248226847075</v>
      </c>
      <c r="N9" s="6" t="n">
        <v>278.502478800904</v>
      </c>
      <c r="O9" s="6" t="n">
        <v>71916614.03</v>
      </c>
      <c r="P9" s="6" t="n">
        <v>60889217.08</v>
      </c>
      <c r="Q9" s="6" t="n">
        <v>84040501.43</v>
      </c>
      <c r="R9" s="6" t="n">
        <f aca="false">O9/C9</f>
        <v>45360.817312213</v>
      </c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126</v>
      </c>
      <c r="B10" s="5" t="s">
        <v>44</v>
      </c>
      <c r="C10" s="6" t="n">
        <v>994.876941432808</v>
      </c>
      <c r="D10" s="6" t="n">
        <v>866.431437441639</v>
      </c>
      <c r="E10" s="6" t="n">
        <v>1138.29988041217</v>
      </c>
      <c r="F10" s="6" t="n">
        <v>1006.64238388006</v>
      </c>
      <c r="G10" s="6" t="n">
        <v>855.490435998733</v>
      </c>
      <c r="H10" s="6" t="n">
        <v>1176.49197427403</v>
      </c>
      <c r="I10" s="6" t="n">
        <v>211.184010243923</v>
      </c>
      <c r="J10" s="6" t="n">
        <v>154.708660027448</v>
      </c>
      <c r="K10" s="6" t="n">
        <v>283.78607974695</v>
      </c>
      <c r="L10" s="6" t="n">
        <v>213.639102340987</v>
      </c>
      <c r="M10" s="6" t="n">
        <v>156.474721403199</v>
      </c>
      <c r="N10" s="6" t="n">
        <v>290.82382787647</v>
      </c>
      <c r="O10" s="6" t="n">
        <v>136226871.42</v>
      </c>
      <c r="P10" s="6" t="n">
        <v>112366056.21</v>
      </c>
      <c r="Q10" s="6" t="n">
        <v>160009116.24</v>
      </c>
      <c r="R10" s="6" t="n">
        <f aca="false">O10/C10</f>
        <v>136928.363445441</v>
      </c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126</v>
      </c>
      <c r="B11" s="5" t="s">
        <v>12</v>
      </c>
      <c r="C11" s="6" t="n">
        <v>20932.6641994567</v>
      </c>
      <c r="D11" s="6" t="n">
        <v>16939.6338029438</v>
      </c>
      <c r="E11" s="6" t="n">
        <v>25087.7423341651</v>
      </c>
      <c r="F11" s="6" t="n">
        <v>19951.6630371784</v>
      </c>
      <c r="G11" s="6" t="n">
        <v>16095.323499767</v>
      </c>
      <c r="H11" s="6" t="n">
        <v>23949.0064740957</v>
      </c>
      <c r="I11" s="6" t="n">
        <v>5477.29000140946</v>
      </c>
      <c r="J11" s="6" t="n">
        <v>3681.06983196983</v>
      </c>
      <c r="K11" s="6" t="n">
        <v>7750.97731440608</v>
      </c>
      <c r="L11" s="6" t="n">
        <v>5168.1404691315</v>
      </c>
      <c r="M11" s="6" t="n">
        <v>3560.35094365032</v>
      </c>
      <c r="N11" s="6" t="n">
        <v>7067.24835016384</v>
      </c>
      <c r="O11" s="6" t="n">
        <v>646006468.44</v>
      </c>
      <c r="P11" s="6" t="n">
        <v>545984561.48</v>
      </c>
      <c r="Q11" s="6" t="n">
        <v>748616347.6</v>
      </c>
      <c r="R11" s="6" t="n">
        <f aca="false">O11/C11</f>
        <v>30861.1680904319</v>
      </c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126</v>
      </c>
      <c r="B12" s="5" t="s">
        <v>113</v>
      </c>
      <c r="C12" s="6" t="n">
        <v>668911.427816243</v>
      </c>
      <c r="D12" s="6" t="n">
        <v>351305.877827486</v>
      </c>
      <c r="E12" s="6" t="n">
        <v>1078802.76003353</v>
      </c>
      <c r="F12" s="6" t="n">
        <v>638677.299817671</v>
      </c>
      <c r="G12" s="6" t="n">
        <v>347029.270066348</v>
      </c>
      <c r="H12" s="6" t="n">
        <v>1066021.72589644</v>
      </c>
      <c r="I12" s="6" t="n">
        <v>67818.3821071413</v>
      </c>
      <c r="J12" s="6" t="n">
        <v>32195.8829713726</v>
      </c>
      <c r="K12" s="6" t="n">
        <v>119285.323670546</v>
      </c>
      <c r="L12" s="6" t="n">
        <v>64418.7164702324</v>
      </c>
      <c r="M12" s="6" t="n">
        <v>32153.173095979</v>
      </c>
      <c r="N12" s="6" t="n">
        <v>114126.624546751</v>
      </c>
      <c r="O12" s="6" t="n">
        <v>546710129.35</v>
      </c>
      <c r="P12" s="6" t="n">
        <v>458226535</v>
      </c>
      <c r="Q12" s="6" t="n">
        <v>634136265.17</v>
      </c>
      <c r="R12" s="6" t="n">
        <f aca="false">O12/C12</f>
        <v>817.313184698927</v>
      </c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126</v>
      </c>
      <c r="B13" s="5" t="s">
        <v>100</v>
      </c>
      <c r="C13" s="6" t="n">
        <v>38294.04</v>
      </c>
      <c r="D13" s="6" t="n">
        <v>32662.99</v>
      </c>
      <c r="E13" s="6" t="n">
        <v>44133.52</v>
      </c>
      <c r="F13" s="6" t="n">
        <v>36677.38</v>
      </c>
      <c r="G13" s="6" t="n">
        <v>31374.55</v>
      </c>
      <c r="H13" s="6" t="n">
        <v>42251.03</v>
      </c>
      <c r="I13" s="6" t="n">
        <v>8307.83</v>
      </c>
      <c r="J13" s="6" t="n">
        <v>6006.66</v>
      </c>
      <c r="K13" s="6" t="n">
        <v>11176.64</v>
      </c>
      <c r="L13" s="6" t="n">
        <v>7913.7</v>
      </c>
      <c r="M13" s="6" t="n">
        <v>5654.3</v>
      </c>
      <c r="N13" s="6" t="n">
        <v>10731.34</v>
      </c>
      <c r="O13" s="6" t="n">
        <v>1363621.16</v>
      </c>
      <c r="P13" s="6" t="n">
        <v>1108111.99</v>
      </c>
      <c r="Q13" s="6" t="n">
        <v>1598870.24</v>
      </c>
      <c r="R13" s="6" t="n">
        <f aca="false">O13/C13</f>
        <v>35.6092269188626</v>
      </c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126</v>
      </c>
      <c r="B14" s="5" t="s">
        <v>101</v>
      </c>
      <c r="C14" s="6" t="n">
        <v>321973.53</v>
      </c>
      <c r="D14" s="6" t="n">
        <v>271274.68</v>
      </c>
      <c r="E14" s="6" t="n">
        <v>373288.04</v>
      </c>
      <c r="F14" s="6" t="n">
        <v>307420.76</v>
      </c>
      <c r="G14" s="6" t="n">
        <v>259594.08</v>
      </c>
      <c r="H14" s="6" t="n">
        <v>360570.11</v>
      </c>
      <c r="I14" s="6" t="n">
        <v>39357.83</v>
      </c>
      <c r="J14" s="6" t="n">
        <v>29525.02</v>
      </c>
      <c r="K14" s="6" t="n">
        <v>49509.61</v>
      </c>
      <c r="L14" s="6" t="n">
        <v>37325.72</v>
      </c>
      <c r="M14" s="6" t="n">
        <v>27696.15</v>
      </c>
      <c r="N14" s="6" t="n">
        <v>47936.5</v>
      </c>
      <c r="O14" s="6" t="n">
        <v>205070081.22</v>
      </c>
      <c r="P14" s="6" t="n">
        <v>168648496.26</v>
      </c>
      <c r="Q14" s="6" t="n">
        <v>248222763.09</v>
      </c>
      <c r="R14" s="6" t="n">
        <f aca="false">O14/C14</f>
        <v>636.915963930327</v>
      </c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126</v>
      </c>
      <c r="B15" s="5" t="s">
        <v>105</v>
      </c>
      <c r="C15" s="6" t="n">
        <v>13517.21</v>
      </c>
      <c r="D15" s="6" t="n">
        <v>4965.95</v>
      </c>
      <c r="E15" s="6" t="n">
        <v>24814.86</v>
      </c>
      <c r="F15" s="6" t="n">
        <v>13114.31</v>
      </c>
      <c r="G15" s="6" t="n">
        <v>4851.97</v>
      </c>
      <c r="H15" s="6" t="n">
        <v>24138.96</v>
      </c>
      <c r="I15" s="6" t="n">
        <v>1624.82</v>
      </c>
      <c r="J15" s="6" t="n">
        <v>757.54</v>
      </c>
      <c r="K15" s="6" t="n">
        <v>2949.89</v>
      </c>
      <c r="L15" s="6" t="n">
        <v>1581.41</v>
      </c>
      <c r="M15" s="6" t="n">
        <v>770.67</v>
      </c>
      <c r="N15" s="6" t="n">
        <v>2808.68</v>
      </c>
      <c r="O15" s="6" t="n">
        <f aca="false">O23*S15</f>
        <v>60661672.5616341</v>
      </c>
      <c r="P15" s="6" t="n">
        <f aca="false">P23*S15</f>
        <v>51852798.3641136</v>
      </c>
      <c r="Q15" s="6" t="n">
        <f aca="false">Q23*S15</f>
        <v>70295801.3493166</v>
      </c>
      <c r="R15" s="6" t="n">
        <f aca="false">O15/C15</f>
        <v>4487.73619420236</v>
      </c>
      <c r="S15" s="6" t="n">
        <f aca="false">C15/C23</f>
        <v>0.0994804459233522</v>
      </c>
      <c r="T15" s="5" t="s">
        <v>95</v>
      </c>
      <c r="U15" s="5" t="s">
        <v>96</v>
      </c>
    </row>
    <row r="16" customFormat="false" ht="14.25" hidden="false" customHeight="true" outlineLevel="0" collapsed="false">
      <c r="A16" s="1" t="s">
        <v>126</v>
      </c>
      <c r="B16" s="1" t="s">
        <v>110</v>
      </c>
      <c r="C16" s="12" t="n">
        <v>2511615.33644853</v>
      </c>
      <c r="D16" s="12" t="n">
        <v>2227009.3445644</v>
      </c>
      <c r="E16" s="12" t="n">
        <v>2789437.33651947</v>
      </c>
      <c r="F16" s="12" t="n">
        <v>2381738.24844959</v>
      </c>
      <c r="G16" s="12" t="n">
        <v>2118122.17051833</v>
      </c>
      <c r="H16" s="12" t="n">
        <v>2651401.77829947</v>
      </c>
      <c r="I16" s="12" t="n">
        <v>222894.747372645</v>
      </c>
      <c r="J16" s="12" t="n">
        <v>148100.042711669</v>
      </c>
      <c r="K16" s="12" t="n">
        <v>303475.436329124</v>
      </c>
      <c r="L16" s="12" t="n">
        <v>209876.646383499</v>
      </c>
      <c r="M16" s="12" t="n">
        <v>142477.335941313</v>
      </c>
      <c r="N16" s="12" t="n">
        <v>287070.539662764</v>
      </c>
      <c r="O16" s="12" t="n">
        <v>3607349371.77</v>
      </c>
      <c r="P16" s="12" t="n">
        <v>3159841352.48</v>
      </c>
      <c r="Q16" s="12" t="n">
        <v>3996536295.12</v>
      </c>
      <c r="R16" s="6" t="n">
        <f aca="false">O16/C16</f>
        <v>1436.26666051134</v>
      </c>
      <c r="T16" s="1" t="s">
        <v>95</v>
      </c>
      <c r="U16" s="1" t="s">
        <v>96</v>
      </c>
    </row>
    <row r="17" s="5" customFormat="true" ht="14.25" hidden="false" customHeight="true" outlineLevel="0" collapsed="false">
      <c r="A17" s="5" t="s">
        <v>126</v>
      </c>
      <c r="B17" s="5" t="s">
        <v>5</v>
      </c>
      <c r="C17" s="6" t="n">
        <v>236619.26</v>
      </c>
      <c r="D17" s="6" t="n">
        <v>178166.65</v>
      </c>
      <c r="E17" s="6" t="n">
        <v>295671.93</v>
      </c>
      <c r="F17" s="6" t="n">
        <v>163540.84</v>
      </c>
      <c r="G17" s="6" t="n">
        <v>121888.63</v>
      </c>
      <c r="H17" s="6" t="n">
        <v>209017.49</v>
      </c>
      <c r="I17" s="6" t="n">
        <v>9277.08</v>
      </c>
      <c r="J17" s="6" t="n">
        <v>4671.45</v>
      </c>
      <c r="K17" s="6" t="n">
        <v>15126</v>
      </c>
      <c r="L17" s="6" t="n">
        <v>6564.16</v>
      </c>
      <c r="M17" s="6" t="n">
        <v>3258.06</v>
      </c>
      <c r="N17" s="6" t="n">
        <v>10904.45</v>
      </c>
      <c r="O17" s="6" t="n">
        <f aca="false">S17*O24</f>
        <v>32763077.4097204</v>
      </c>
      <c r="P17" s="6" t="n">
        <f aca="false">S17*P24</f>
        <v>28016523.5628282</v>
      </c>
      <c r="Q17" s="6" t="n">
        <f aca="false">S17*Q24</f>
        <v>37215197.0238554</v>
      </c>
      <c r="R17" s="6" t="n">
        <f aca="false">O17/C17</f>
        <v>138.463273909826</v>
      </c>
      <c r="S17" s="5" t="n">
        <f aca="false">C17/C24</f>
        <v>0.13968803600404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126</v>
      </c>
      <c r="B18" s="5" t="s">
        <v>114</v>
      </c>
      <c r="C18" s="6" t="n">
        <v>26118.3148726848</v>
      </c>
      <c r="D18" s="6" t="n">
        <v>21796.8230262066</v>
      </c>
      <c r="E18" s="6" t="n">
        <v>30945.5990092903</v>
      </c>
      <c r="F18" s="6" t="n">
        <v>24983.6920606896</v>
      </c>
      <c r="G18" s="6" t="n">
        <v>21055.7308847529</v>
      </c>
      <c r="H18" s="6" t="n">
        <v>29632.2507857974</v>
      </c>
      <c r="I18" s="6" t="n">
        <v>3614.33837441717</v>
      </c>
      <c r="J18" s="6" t="n">
        <v>2472.86605013036</v>
      </c>
      <c r="K18" s="6" t="n">
        <v>5236.88533201384</v>
      </c>
      <c r="L18" s="6" t="n">
        <v>3418.70997182149</v>
      </c>
      <c r="M18" s="6" t="n">
        <v>2218.21001972703</v>
      </c>
      <c r="N18" s="6" t="n">
        <v>4944.32086390896</v>
      </c>
      <c r="O18" s="6" t="n">
        <v>251343072.08</v>
      </c>
      <c r="P18" s="6" t="n">
        <v>208865464.02</v>
      </c>
      <c r="Q18" s="6" t="n">
        <v>290810164.9</v>
      </c>
      <c r="R18" s="6" t="n">
        <f aca="false">O18/C18</f>
        <v>9623.24994185827</v>
      </c>
      <c r="T18" s="5" t="s">
        <v>95</v>
      </c>
      <c r="U18" s="5" t="s">
        <v>96</v>
      </c>
    </row>
    <row r="19" s="5" customFormat="true" ht="14.25" hidden="false" customHeight="true" outlineLevel="0" collapsed="false">
      <c r="A19" s="5" t="s">
        <v>126</v>
      </c>
      <c r="B19" s="5" t="s">
        <v>106</v>
      </c>
      <c r="C19" s="6" t="n">
        <v>3540.88</v>
      </c>
      <c r="D19" s="6" t="n">
        <v>2985.22</v>
      </c>
      <c r="E19" s="6" t="n">
        <v>4208.86</v>
      </c>
      <c r="F19" s="6" t="n">
        <v>3377.46</v>
      </c>
      <c r="G19" s="6" t="n">
        <v>2750.92</v>
      </c>
      <c r="H19" s="6" t="n">
        <v>4035.73</v>
      </c>
      <c r="I19" s="6" t="n">
        <v>326.45</v>
      </c>
      <c r="J19" s="6" t="n">
        <v>227.74</v>
      </c>
      <c r="K19" s="6" t="n">
        <v>448.18</v>
      </c>
      <c r="L19" s="6" t="n">
        <v>311.77</v>
      </c>
      <c r="M19" s="6" t="n">
        <v>213.41</v>
      </c>
      <c r="N19" s="6" t="n">
        <v>419.1</v>
      </c>
      <c r="O19" s="6" t="n">
        <v>48963186.99</v>
      </c>
      <c r="P19" s="6" t="n">
        <v>40500725.87</v>
      </c>
      <c r="Q19" s="6" t="n">
        <v>56485879.25</v>
      </c>
      <c r="R19" s="6" t="n">
        <f aca="false">O19/C19</f>
        <v>13827.9712924471</v>
      </c>
      <c r="T19" s="5" t="s">
        <v>95</v>
      </c>
      <c r="U19" s="5" t="s">
        <v>96</v>
      </c>
    </row>
    <row r="20" s="5" customFormat="true" ht="14.25" hidden="false" customHeight="true" outlineLevel="0" collapsed="false">
      <c r="A20" s="5" t="s">
        <v>126</v>
      </c>
      <c r="B20" s="5" t="s">
        <v>41</v>
      </c>
      <c r="C20" s="6" t="n">
        <v>115468.089547206</v>
      </c>
      <c r="D20" s="6" t="n">
        <v>102345.669586487</v>
      </c>
      <c r="E20" s="6" t="n">
        <v>130622.698266932</v>
      </c>
      <c r="F20" s="6" t="n">
        <v>108015.844288374</v>
      </c>
      <c r="G20" s="6" t="n">
        <v>94052.0581205008</v>
      </c>
      <c r="H20" s="6" t="n">
        <v>123907.420386295</v>
      </c>
      <c r="I20" s="6" t="n">
        <v>15586.3365264403</v>
      </c>
      <c r="J20" s="6" t="n">
        <v>11112.9110291953</v>
      </c>
      <c r="K20" s="6" t="n">
        <v>20658.001681648</v>
      </c>
      <c r="L20" s="6" t="n">
        <v>14521.2832505504</v>
      </c>
      <c r="M20" s="6" t="n">
        <v>10244.4262690298</v>
      </c>
      <c r="N20" s="6" t="n">
        <v>19255.963525874</v>
      </c>
      <c r="O20" s="6" t="n">
        <v>303785045.37</v>
      </c>
      <c r="P20" s="6" t="n">
        <v>258842775.97</v>
      </c>
      <c r="Q20" s="6" t="n">
        <v>348493388.37</v>
      </c>
      <c r="R20" s="6" t="n">
        <f aca="false">O20/C20</f>
        <v>2630.90042072451</v>
      </c>
      <c r="T20" s="5" t="s">
        <v>95</v>
      </c>
      <c r="U20" s="5" t="s">
        <v>96</v>
      </c>
    </row>
    <row r="21" s="5" customFormat="true" ht="14.25" hidden="false" customHeight="true" outlineLevel="0" collapsed="false">
      <c r="A21" s="5" t="s">
        <v>126</v>
      </c>
      <c r="B21" s="5" t="s">
        <v>22</v>
      </c>
      <c r="C21" s="6" t="n">
        <v>3674040.27089392</v>
      </c>
      <c r="D21" s="7" t="n">
        <v>3464512.36468127</v>
      </c>
      <c r="E21" s="7" t="n">
        <v>3883568.17710658</v>
      </c>
      <c r="F21" s="6" t="n">
        <v>3361222.11461268</v>
      </c>
      <c r="G21" s="7" t="n">
        <v>3166755.27383407</v>
      </c>
      <c r="H21" s="7" t="n">
        <v>3555688.95539129</v>
      </c>
      <c r="I21" s="6" t="n">
        <f aca="false">I25-I7</f>
        <v>122959.648668245</v>
      </c>
      <c r="J21" s="6" t="n">
        <f aca="false">J25-J7</f>
        <v>88047.3779367803</v>
      </c>
      <c r="K21" s="6" t="n">
        <f aca="false">K25-K7</f>
        <v>171344.060913818</v>
      </c>
      <c r="L21" s="6" t="n">
        <f aca="false">L25-L7</f>
        <v>113070.939834632</v>
      </c>
      <c r="M21" s="6" t="n">
        <f aca="false">M25-M7</f>
        <v>80418.7629648306</v>
      </c>
      <c r="N21" s="6" t="n">
        <f aca="false">N25-N7</f>
        <v>157905.37366697</v>
      </c>
      <c r="O21" s="5" t="n">
        <v>2169804058</v>
      </c>
      <c r="P21" s="5" t="n">
        <v>1851818164.43</v>
      </c>
      <c r="Q21" s="5" t="n">
        <v>2487807905.91</v>
      </c>
      <c r="R21" s="6"/>
    </row>
    <row r="23" s="5" customFormat="true" ht="14.25" hidden="false" customHeight="true" outlineLevel="0" collapsed="false">
      <c r="B23" s="5" t="s">
        <v>107</v>
      </c>
      <c r="C23" s="6" t="n">
        <v>135878.06</v>
      </c>
      <c r="D23" s="6" t="n">
        <v>123042.67</v>
      </c>
      <c r="E23" s="6" t="n">
        <v>150379.95</v>
      </c>
      <c r="F23" s="6" t="n">
        <v>130712.99</v>
      </c>
      <c r="G23" s="6" t="n">
        <v>116969.82</v>
      </c>
      <c r="H23" s="6" t="n">
        <v>146267.31</v>
      </c>
      <c r="I23" s="6" t="n">
        <v>13454</v>
      </c>
      <c r="J23" s="6" t="n">
        <v>9397.08</v>
      </c>
      <c r="K23" s="6" t="n">
        <v>18139.57</v>
      </c>
      <c r="L23" s="6" t="n">
        <v>12834.79</v>
      </c>
      <c r="M23" s="6" t="n">
        <v>8932.2</v>
      </c>
      <c r="N23" s="6" t="n">
        <v>17535.74</v>
      </c>
      <c r="O23" s="6" t="n">
        <v>609784887.86</v>
      </c>
      <c r="P23" s="6" t="n">
        <v>521236086.98</v>
      </c>
      <c r="Q23" s="6" t="n">
        <v>706629335.01</v>
      </c>
      <c r="R23" s="6" t="n">
        <f aca="false">O23/C23</f>
        <v>4487.73619420236</v>
      </c>
    </row>
    <row r="24" s="5" customFormat="true" ht="14.25" hidden="false" customHeight="true" outlineLevel="0" collapsed="false">
      <c r="B24" s="6" t="s">
        <v>108</v>
      </c>
      <c r="C24" s="6" t="n">
        <v>1693912.14</v>
      </c>
      <c r="D24" s="6" t="n">
        <v>1261518.95</v>
      </c>
      <c r="E24" s="6" t="n">
        <v>2184632.84</v>
      </c>
      <c r="F24" s="6" t="n">
        <v>1519064.27</v>
      </c>
      <c r="G24" s="6" t="n">
        <v>1046407.02</v>
      </c>
      <c r="H24" s="6" t="n">
        <v>2223529.9</v>
      </c>
      <c r="I24" s="6" t="n">
        <v>36382.72</v>
      </c>
      <c r="J24" s="6" t="n">
        <v>19949.44</v>
      </c>
      <c r="K24" s="6" t="n">
        <v>56437.2</v>
      </c>
      <c r="L24" s="6" t="n">
        <v>30448.78</v>
      </c>
      <c r="M24" s="6" t="n">
        <v>15285.21</v>
      </c>
      <c r="N24" s="6" t="n">
        <v>50262.96</v>
      </c>
      <c r="O24" s="6" t="n">
        <v>234544620.62</v>
      </c>
      <c r="P24" s="6" t="n">
        <v>200564947.18</v>
      </c>
      <c r="Q24" s="6" t="n">
        <v>266416495.56</v>
      </c>
      <c r="R24" s="6" t="n">
        <f aca="false">O24/C24</f>
        <v>138.463273909826</v>
      </c>
    </row>
    <row r="25" s="5" customFormat="true" ht="14.25" hidden="false" customHeight="true" outlineLevel="0" collapsed="false">
      <c r="B25" s="5" t="s">
        <v>109</v>
      </c>
      <c r="C25" s="6" t="n">
        <v>5158295.18406507</v>
      </c>
      <c r="D25" s="6" t="n">
        <v>4755724.00944526</v>
      </c>
      <c r="E25" s="6" t="n">
        <v>5580120.09431857</v>
      </c>
      <c r="F25" s="6" t="n">
        <v>4974701.27583955</v>
      </c>
      <c r="G25" s="6" t="n">
        <v>4583238.77406535</v>
      </c>
      <c r="H25" s="6" t="n">
        <v>5370119.46867418</v>
      </c>
      <c r="I25" s="6" t="n">
        <v>187984.169666504</v>
      </c>
      <c r="J25" s="6" t="n">
        <v>134037.400744625</v>
      </c>
      <c r="K25" s="6" t="n">
        <v>261916.634168211</v>
      </c>
      <c r="L25" s="6" t="n">
        <v>183335.231256931</v>
      </c>
      <c r="M25" s="6" t="n">
        <v>130115.725125318</v>
      </c>
      <c r="N25" s="6" t="n">
        <v>256235.466670424</v>
      </c>
      <c r="O25" s="6" t="n">
        <f aca="false">O21+O7</f>
        <v>2835747477.58</v>
      </c>
      <c r="P25" s="6" t="n">
        <f aca="false">P21+P7</f>
        <v>2424327848.83</v>
      </c>
      <c r="Q25" s="6" t="n">
        <f aca="false">Q21+Q7</f>
        <v>3239043326.97</v>
      </c>
      <c r="R25" s="6" t="n">
        <f aca="false">O25/C25</f>
        <v>549.745095305936</v>
      </c>
    </row>
    <row r="27" customFormat="false" ht="14.25" hidden="false" customHeight="true" outlineLevel="0" collapsed="false">
      <c r="C27" s="1" t="s">
        <v>123</v>
      </c>
      <c r="D27" s="1" t="n">
        <f aca="false">C7/C25</f>
        <v>0.306128237785678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2.76"/>
    <col collapsed="false" customWidth="true" hidden="false" outlineLevel="0" max="3" min="3" style="1" width="15.44"/>
    <col collapsed="false" customWidth="true" hidden="false" outlineLevel="0" max="4" min="4" style="1" width="1.88"/>
    <col collapsed="false" customWidth="true" hidden="true" outlineLevel="0" max="5" min="5" style="1" width="17.11"/>
    <col collapsed="false" customWidth="true" hidden="true" outlineLevel="0" max="6" min="6" style="1" width="16.67"/>
    <col collapsed="false" customWidth="true" hidden="true" outlineLevel="0" max="7" min="7" style="1" width="21.11"/>
    <col collapsed="false" customWidth="true" hidden="true" outlineLevel="0" max="8" min="8" style="1" width="18.79"/>
    <col collapsed="false" customWidth="true" hidden="true" outlineLevel="0" max="9" min="9" style="1" width="13.75"/>
    <col collapsed="false" customWidth="true" hidden="true" outlineLevel="0" max="14" min="10" style="1" width="9.56"/>
    <col collapsed="false" customWidth="true" hidden="false" outlineLevel="0" max="17" min="15" style="1" width="13.67"/>
    <col collapsed="false" customWidth="true" hidden="false" outlineLevel="0" max="18" min="18" style="1" width="9.56"/>
    <col collapsed="false" customWidth="true" hidden="false" outlineLevel="0" max="19" min="19" style="1" width="16.77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16" t="s">
        <v>74</v>
      </c>
      <c r="D1" s="16" t="s">
        <v>75</v>
      </c>
      <c r="E1" s="16" t="s">
        <v>76</v>
      </c>
      <c r="F1" s="16" t="s">
        <v>77</v>
      </c>
      <c r="G1" s="16" t="s">
        <v>78</v>
      </c>
      <c r="H1" s="16" t="s">
        <v>79</v>
      </c>
      <c r="I1" s="16" t="s">
        <v>80</v>
      </c>
      <c r="J1" s="16" t="s">
        <v>81</v>
      </c>
      <c r="K1" s="16" t="s">
        <v>82</v>
      </c>
      <c r="L1" s="16" t="s">
        <v>83</v>
      </c>
      <c r="M1" s="16" t="s">
        <v>84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6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127</v>
      </c>
      <c r="B2" s="5" t="s">
        <v>94</v>
      </c>
      <c r="C2" s="6" t="n">
        <v>5317.42765811865</v>
      </c>
      <c r="D2" s="6" t="n">
        <v>3286.16325010726</v>
      </c>
      <c r="E2" s="6" t="n">
        <v>7921.85986212588</v>
      </c>
      <c r="F2" s="6" t="n">
        <v>5688.72606775822</v>
      </c>
      <c r="G2" s="6" t="n">
        <v>3494.24713573992</v>
      </c>
      <c r="H2" s="6" t="n">
        <v>8748.52004138622</v>
      </c>
      <c r="I2" s="6" t="n">
        <v>432.971188473737</v>
      </c>
      <c r="J2" s="6" t="n">
        <v>256.138339336684</v>
      </c>
      <c r="K2" s="6" t="n">
        <v>689.134390832724</v>
      </c>
      <c r="L2" s="6" t="n">
        <v>465.209922880313</v>
      </c>
      <c r="M2" s="6" t="n">
        <v>260.656356590642</v>
      </c>
      <c r="N2" s="6" t="n">
        <v>754.479257906728</v>
      </c>
      <c r="O2" s="6" t="n">
        <v>241368016.77</v>
      </c>
      <c r="P2" s="6" t="n">
        <v>207694432.4</v>
      </c>
      <c r="Q2" s="6" t="n">
        <v>279624256.16</v>
      </c>
      <c r="R2" s="6" t="n">
        <f aca="false">O2/C2</f>
        <v>45391.8759762494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127</v>
      </c>
      <c r="B3" s="5" t="s">
        <v>97</v>
      </c>
      <c r="C3" s="6" t="n">
        <v>35199.7909354952</v>
      </c>
      <c r="D3" s="6" t="n">
        <v>28794.1951277854</v>
      </c>
      <c r="E3" s="6" t="n">
        <v>42711.7010169449</v>
      </c>
      <c r="F3" s="6" t="n">
        <v>36204.4844569337</v>
      </c>
      <c r="G3" s="6" t="n">
        <v>28797.4011734168</v>
      </c>
      <c r="H3" s="6" t="n">
        <v>45462.0758319967</v>
      </c>
      <c r="I3" s="6" t="n">
        <v>5222.79444663009</v>
      </c>
      <c r="J3" s="6" t="n">
        <v>3392.02540844901</v>
      </c>
      <c r="K3" s="6" t="n">
        <v>7395.16585460021</v>
      </c>
      <c r="L3" s="6" t="n">
        <v>5332.1276177842</v>
      </c>
      <c r="M3" s="6" t="n">
        <v>3283.63637989696</v>
      </c>
      <c r="N3" s="6" t="n">
        <v>7646.75463100819</v>
      </c>
      <c r="O3" s="6" t="n">
        <f aca="false">S3*O28</f>
        <v>129392513.904256</v>
      </c>
      <c r="P3" s="6" t="n">
        <f aca="false">S3*P28</f>
        <v>108433515.917736</v>
      </c>
      <c r="Q3" s="6" t="n">
        <f aca="false">S3*Q28</f>
        <v>148227828.26587</v>
      </c>
      <c r="R3" s="6" t="n">
        <f aca="false">O3/C3</f>
        <v>3675.94552312463</v>
      </c>
      <c r="S3" s="6" t="n">
        <f aca="false">C3/C28</f>
        <v>0.276675952413459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127</v>
      </c>
      <c r="B4" s="5" t="s">
        <v>119</v>
      </c>
      <c r="C4" s="6" t="n">
        <v>105115.561254872</v>
      </c>
      <c r="D4" s="6" t="n">
        <v>86946.2312732293</v>
      </c>
      <c r="E4" s="6" t="n">
        <v>132064.913706784</v>
      </c>
      <c r="F4" s="6" t="n">
        <v>121091.902989584</v>
      </c>
      <c r="G4" s="6" t="n">
        <v>95655.402311145</v>
      </c>
      <c r="H4" s="6" t="n">
        <v>148901.926954346</v>
      </c>
      <c r="I4" s="6" t="n">
        <v>5839.00217144913</v>
      </c>
      <c r="J4" s="6" t="n">
        <v>3785.90776859195</v>
      </c>
      <c r="K4" s="6" t="n">
        <v>8914.34252866071</v>
      </c>
      <c r="L4" s="6" t="n">
        <v>6691.55905199493</v>
      </c>
      <c r="M4" s="6" t="n">
        <v>4335.54497641035</v>
      </c>
      <c r="N4" s="6" t="n">
        <v>9850.90760199717</v>
      </c>
      <c r="O4" s="6" t="n">
        <v>801292716.08</v>
      </c>
      <c r="P4" s="6" t="n">
        <v>693630250.11</v>
      </c>
      <c r="Q4" s="6" t="n">
        <v>916389958.46</v>
      </c>
      <c r="R4" s="6" t="n">
        <f aca="false">O4/C4</f>
        <v>7622.96948724004</v>
      </c>
      <c r="S4" s="6"/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127</v>
      </c>
      <c r="B5" s="5" t="s">
        <v>122</v>
      </c>
      <c r="C5" s="6" t="n">
        <v>529544.31258323</v>
      </c>
      <c r="D5" s="6" t="n">
        <v>457746.348271037</v>
      </c>
      <c r="E5" s="6" t="n">
        <v>604794.324054199</v>
      </c>
      <c r="F5" s="6" t="n">
        <v>598876.586585866</v>
      </c>
      <c r="G5" s="6" t="n">
        <v>501926.892905313</v>
      </c>
      <c r="H5" s="6" t="n">
        <v>697149.639095537</v>
      </c>
      <c r="I5" s="6" t="n">
        <v>29414.84010079</v>
      </c>
      <c r="J5" s="6" t="n">
        <v>19219.9287836901</v>
      </c>
      <c r="K5" s="6" t="n">
        <v>40777.4808876244</v>
      </c>
      <c r="L5" s="6" t="n">
        <v>33095.8314876922</v>
      </c>
      <c r="M5" s="6" t="n">
        <v>21264.5670078005</v>
      </c>
      <c r="N5" s="6" t="n">
        <v>45836.6147414462</v>
      </c>
      <c r="O5" s="6" t="n">
        <v>3599437700.4</v>
      </c>
      <c r="P5" s="6" t="n">
        <v>3169926346.68</v>
      </c>
      <c r="Q5" s="6" t="n">
        <v>4095802773.87</v>
      </c>
      <c r="R5" s="6" t="n">
        <f aca="false">O5/C5</f>
        <v>6797.23606668756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127</v>
      </c>
      <c r="B6" s="5" t="s">
        <v>26</v>
      </c>
      <c r="C6" s="6" t="n">
        <v>1795252.62090471</v>
      </c>
      <c r="D6" s="6" t="n">
        <v>1493737.65134622</v>
      </c>
      <c r="E6" s="6" t="n">
        <v>2195948.48825926</v>
      </c>
      <c r="F6" s="6" t="n">
        <v>2130855.38571749</v>
      </c>
      <c r="G6" s="6" t="n">
        <v>1760451.85265743</v>
      </c>
      <c r="H6" s="6" t="n">
        <v>2625778.71036318</v>
      </c>
      <c r="I6" s="6" t="n">
        <v>74357.535703767</v>
      </c>
      <c r="J6" s="6" t="n">
        <v>52363.5751230263</v>
      </c>
      <c r="K6" s="6" t="n">
        <v>103711.241328713</v>
      </c>
      <c r="L6" s="6" t="n">
        <v>87702.0131773019</v>
      </c>
      <c r="M6" s="6" t="n">
        <v>61170.5049134493</v>
      </c>
      <c r="N6" s="6" t="n">
        <v>122074.0648612</v>
      </c>
      <c r="O6" s="6" t="n">
        <v>759026218.78</v>
      </c>
      <c r="P6" s="6" t="n">
        <v>667602973.33</v>
      </c>
      <c r="Q6" s="6" t="n">
        <v>860000789.73</v>
      </c>
      <c r="R6" s="6" t="n">
        <f aca="false">O6/C6</f>
        <v>422.796329575886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127</v>
      </c>
      <c r="B7" s="5" t="s">
        <v>22</v>
      </c>
      <c r="C7" s="6" t="n">
        <v>4665804.09499991</v>
      </c>
      <c r="D7" s="7" t="n">
        <v>4410849.44800441</v>
      </c>
      <c r="E7" s="7" t="n">
        <v>4920758.7419954</v>
      </c>
      <c r="F7" s="6" t="n">
        <v>4695235.76307627</v>
      </c>
      <c r="G7" s="7" t="n">
        <v>4441789.07811527</v>
      </c>
      <c r="H7" s="7" t="n">
        <v>4948682.44803727</v>
      </c>
      <c r="I7" s="6" t="n">
        <f aca="false">I30-I6</f>
        <v>150312.789800833</v>
      </c>
      <c r="J7" s="6" t="n">
        <f aca="false">J30-J6</f>
        <v>108425.857322683</v>
      </c>
      <c r="K7" s="6" t="n">
        <f aca="false">K30-K6</f>
        <v>209193.028986084</v>
      </c>
      <c r="L7" s="6" t="n">
        <f aca="false">L30-L6</f>
        <v>152138.330757703</v>
      </c>
      <c r="M7" s="6" t="n">
        <f aca="false">M30-M6</f>
        <v>109687.242481068</v>
      </c>
      <c r="N7" s="6" t="n">
        <f aca="false">N30-N6</f>
        <v>211964.464438544</v>
      </c>
      <c r="O7" s="5" t="n">
        <v>1962498953.69</v>
      </c>
      <c r="P7" s="5" t="n">
        <v>1716995976.07</v>
      </c>
      <c r="Q7" s="5" t="n">
        <v>2245930391.37</v>
      </c>
      <c r="R7" s="6" t="n">
        <f aca="false">O7/C7</f>
        <v>420.6132348748</v>
      </c>
    </row>
    <row r="8" s="5" customFormat="true" ht="14.25" hidden="false" customHeight="true" outlineLevel="0" collapsed="false">
      <c r="A8" s="5" t="s">
        <v>127</v>
      </c>
      <c r="B8" s="5" t="s">
        <v>120</v>
      </c>
      <c r="C8" s="6" t="n">
        <v>2840277.07628663</v>
      </c>
      <c r="D8" s="6" t="n">
        <v>2343288.7700973</v>
      </c>
      <c r="E8" s="6" t="n">
        <v>3434102.06904398</v>
      </c>
      <c r="F8" s="6" t="n">
        <v>2956106.20377444</v>
      </c>
      <c r="G8" s="6" t="n">
        <v>2438376.40749732</v>
      </c>
      <c r="H8" s="6" t="n">
        <v>3583347.49019385</v>
      </c>
      <c r="I8" s="6" t="n">
        <v>325831.752988098</v>
      </c>
      <c r="J8" s="6" t="n">
        <v>210426.766516301</v>
      </c>
      <c r="K8" s="6" t="n">
        <v>450736.414490248</v>
      </c>
      <c r="L8" s="6" t="n">
        <v>336750.976933722</v>
      </c>
      <c r="M8" s="6" t="n">
        <v>216383.480193785</v>
      </c>
      <c r="N8" s="6" t="n">
        <v>463312.604489779</v>
      </c>
      <c r="O8" s="6" t="n">
        <v>1816913125.48</v>
      </c>
      <c r="P8" s="6" t="n">
        <v>1589619630.4</v>
      </c>
      <c r="Q8" s="6" t="n">
        <v>2098842661.01</v>
      </c>
      <c r="R8" s="6" t="n">
        <f aca="false">O8/C8</f>
        <v>639.695732733029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127</v>
      </c>
      <c r="B9" s="5" t="s">
        <v>98</v>
      </c>
      <c r="C9" s="6" t="n">
        <v>1307.46367795446</v>
      </c>
      <c r="D9" s="6" t="n">
        <v>1049.8275270715</v>
      </c>
      <c r="E9" s="6" t="n">
        <v>1695.70878785269</v>
      </c>
      <c r="F9" s="6" t="n">
        <v>1442.08925204544</v>
      </c>
      <c r="G9" s="6" t="n">
        <v>1031.19537031332</v>
      </c>
      <c r="H9" s="6" t="n">
        <v>2027.94999346369</v>
      </c>
      <c r="I9" s="6" t="n">
        <v>127.986721859685</v>
      </c>
      <c r="J9" s="6" t="n">
        <v>86.9750870211726</v>
      </c>
      <c r="K9" s="6" t="n">
        <v>185.924287759966</v>
      </c>
      <c r="L9" s="6" t="n">
        <v>142.506691011813</v>
      </c>
      <c r="M9" s="6" t="n">
        <v>86.704133497311</v>
      </c>
      <c r="N9" s="6" t="n">
        <v>238.189484527631</v>
      </c>
      <c r="O9" s="6" t="n">
        <v>73148166.09</v>
      </c>
      <c r="P9" s="6" t="n">
        <v>61424893.24</v>
      </c>
      <c r="Q9" s="6" t="n">
        <v>86483189.29</v>
      </c>
      <c r="R9" s="12" t="n">
        <f aca="false">O9/C9</f>
        <v>55946.614290992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127</v>
      </c>
      <c r="B10" s="5" t="s">
        <v>44</v>
      </c>
      <c r="C10" s="6" t="n">
        <v>951.442377334616</v>
      </c>
      <c r="D10" s="6" t="n">
        <v>826.301208498393</v>
      </c>
      <c r="E10" s="6" t="n">
        <v>1094.35715438079</v>
      </c>
      <c r="F10" s="6" t="n">
        <v>1065.02112139895</v>
      </c>
      <c r="G10" s="6" t="n">
        <v>903.259836999648</v>
      </c>
      <c r="H10" s="6" t="n">
        <v>1256.87343195195</v>
      </c>
      <c r="I10" s="6" t="n">
        <v>202.08902506029</v>
      </c>
      <c r="J10" s="6" t="n">
        <v>146.680265338292</v>
      </c>
      <c r="K10" s="6" t="n">
        <v>269.316580507426</v>
      </c>
      <c r="L10" s="6" t="n">
        <v>226.189759065615</v>
      </c>
      <c r="M10" s="6" t="n">
        <v>162.902935172346</v>
      </c>
      <c r="N10" s="6" t="n">
        <v>302.002667335432</v>
      </c>
      <c r="O10" s="6" t="n">
        <v>104193716.34</v>
      </c>
      <c r="P10" s="6" t="n">
        <v>84474117.42</v>
      </c>
      <c r="Q10" s="6" t="n">
        <v>124173156.81</v>
      </c>
      <c r="R10" s="12" t="n">
        <f aca="false">O10/C10</f>
        <v>109511.325984754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127</v>
      </c>
      <c r="B11" s="5" t="s">
        <v>12</v>
      </c>
      <c r="C11" s="6" t="n">
        <v>32736.1248183513</v>
      </c>
      <c r="D11" s="6" t="n">
        <v>28368.2906324235</v>
      </c>
      <c r="E11" s="6" t="n">
        <v>36965.1938480624</v>
      </c>
      <c r="F11" s="6" t="n">
        <v>34498.9663024989</v>
      </c>
      <c r="G11" s="6" t="n">
        <v>29788.023260612</v>
      </c>
      <c r="H11" s="6" t="n">
        <v>39166.8000199192</v>
      </c>
      <c r="I11" s="6" t="n">
        <v>8463.82003287944</v>
      </c>
      <c r="J11" s="6" t="n">
        <v>5933.79748794629</v>
      </c>
      <c r="K11" s="6" t="n">
        <v>11176.1174915966</v>
      </c>
      <c r="L11" s="6" t="n">
        <v>8821.46745456702</v>
      </c>
      <c r="M11" s="6" t="n">
        <v>6238.1945346509</v>
      </c>
      <c r="N11" s="6" t="n">
        <v>11721.8468384448</v>
      </c>
      <c r="O11" s="6" t="n">
        <v>1173949731.53</v>
      </c>
      <c r="P11" s="6" t="n">
        <v>996144829.54</v>
      </c>
      <c r="Q11" s="6" t="n">
        <v>1358983649.42</v>
      </c>
      <c r="R11" s="6" t="n">
        <f aca="false">O11/C11</f>
        <v>35860.9865414462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127</v>
      </c>
      <c r="B12" s="5" t="s">
        <v>113</v>
      </c>
      <c r="C12" s="6" t="n">
        <v>691578.131467016</v>
      </c>
      <c r="D12" s="6" t="n">
        <v>416646.800017694</v>
      </c>
      <c r="E12" s="6" t="n">
        <v>1112781.81013536</v>
      </c>
      <c r="F12" s="6" t="n">
        <v>727195.539545968</v>
      </c>
      <c r="G12" s="6" t="n">
        <v>445187.710994842</v>
      </c>
      <c r="H12" s="6" t="n">
        <v>1162991.37235923</v>
      </c>
      <c r="I12" s="6" t="n">
        <v>69903.93051137</v>
      </c>
      <c r="J12" s="6" t="n">
        <v>36574.5318786395</v>
      </c>
      <c r="K12" s="6" t="n">
        <v>120756.89801381</v>
      </c>
      <c r="L12" s="6" t="n">
        <v>72998.7627527646</v>
      </c>
      <c r="M12" s="6" t="n">
        <v>40831.1884375526</v>
      </c>
      <c r="N12" s="6" t="n">
        <v>125961.315146501</v>
      </c>
      <c r="O12" s="6" t="n">
        <v>903620698.98</v>
      </c>
      <c r="P12" s="6" t="n">
        <v>773289238.7</v>
      </c>
      <c r="Q12" s="6" t="n">
        <v>1062939932.6</v>
      </c>
      <c r="R12" s="6" t="n">
        <f aca="false">O12/C12</f>
        <v>1306.60681398816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127</v>
      </c>
      <c r="B13" s="5" t="s">
        <v>100</v>
      </c>
      <c r="C13" s="6" t="n">
        <v>36867.04</v>
      </c>
      <c r="D13" s="6" t="n">
        <v>31477.03</v>
      </c>
      <c r="E13" s="6" t="n">
        <v>42537.29</v>
      </c>
      <c r="F13" s="6" t="n">
        <v>38873.74</v>
      </c>
      <c r="G13" s="6" t="n">
        <v>33311.53</v>
      </c>
      <c r="H13" s="6" t="n">
        <v>44688.25</v>
      </c>
      <c r="I13" s="6" t="n">
        <v>7956.96</v>
      </c>
      <c r="J13" s="6" t="n">
        <v>5683.18</v>
      </c>
      <c r="K13" s="6" t="n">
        <v>10581.88</v>
      </c>
      <c r="L13" s="6" t="n">
        <v>8384.61</v>
      </c>
      <c r="M13" s="6" t="n">
        <v>6168.85</v>
      </c>
      <c r="N13" s="6" t="n">
        <v>11254.22</v>
      </c>
      <c r="O13" s="6" t="n">
        <v>1749212.6</v>
      </c>
      <c r="P13" s="6" t="n">
        <v>1454562.2</v>
      </c>
      <c r="Q13" s="6" t="n">
        <v>2100043.21</v>
      </c>
      <c r="R13" s="12" t="n">
        <f aca="false">O13/C13</f>
        <v>47.4465159123163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127</v>
      </c>
      <c r="B14" s="5" t="s">
        <v>101</v>
      </c>
      <c r="C14" s="6" t="n">
        <v>308964.16</v>
      </c>
      <c r="D14" s="6" t="n">
        <v>259323.6</v>
      </c>
      <c r="E14" s="6" t="n">
        <v>359099.82</v>
      </c>
      <c r="F14" s="6" t="n">
        <v>324661.39</v>
      </c>
      <c r="G14" s="6" t="n">
        <v>273584.91</v>
      </c>
      <c r="H14" s="6" t="n">
        <v>382400.26</v>
      </c>
      <c r="I14" s="6" t="n">
        <v>36801.1</v>
      </c>
      <c r="J14" s="6" t="n">
        <v>27325.6</v>
      </c>
      <c r="K14" s="6" t="n">
        <v>46204.37</v>
      </c>
      <c r="L14" s="6" t="n">
        <v>38378</v>
      </c>
      <c r="M14" s="6" t="n">
        <v>28261.88</v>
      </c>
      <c r="N14" s="6" t="n">
        <v>48871.07</v>
      </c>
      <c r="O14" s="6" t="n">
        <v>164244698.96</v>
      </c>
      <c r="P14" s="6" t="n">
        <v>133177468.97</v>
      </c>
      <c r="Q14" s="6" t="n">
        <v>201628818.34</v>
      </c>
      <c r="R14" s="12" t="n">
        <f aca="false">O14/C14</f>
        <v>531.597901063994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127</v>
      </c>
      <c r="B15" s="5" t="s">
        <v>128</v>
      </c>
      <c r="C15" s="6" t="n">
        <v>36148.7283506796</v>
      </c>
      <c r="D15" s="6" t="n">
        <v>24454.7972681436</v>
      </c>
      <c r="E15" s="6" t="n">
        <v>51753.4318796943</v>
      </c>
      <c r="F15" s="6" t="n">
        <v>38391.4830071302</v>
      </c>
      <c r="G15" s="6" t="n">
        <v>25287.5240421806</v>
      </c>
      <c r="H15" s="6" t="n">
        <v>55342.542620682</v>
      </c>
      <c r="I15" s="6" t="n">
        <v>1226.55513066331</v>
      </c>
      <c r="J15" s="6" t="n">
        <v>527.494449052136</v>
      </c>
      <c r="K15" s="6" t="n">
        <v>2660.71108684789</v>
      </c>
      <c r="L15" s="6" t="n">
        <v>1292.42237470778</v>
      </c>
      <c r="M15" s="6" t="n">
        <v>514.382222826854</v>
      </c>
      <c r="N15" s="6" t="n">
        <v>2832.20851895076</v>
      </c>
      <c r="O15" s="6" t="n">
        <f aca="false">S15*O31</f>
        <v>65154508.3941105</v>
      </c>
      <c r="P15" s="6" t="n">
        <f aca="false">S15*P31</f>
        <v>55900737.7347225</v>
      </c>
      <c r="Q15" s="6" t="n">
        <f aca="false">S15*Q31</f>
        <v>76084587.4228132</v>
      </c>
      <c r="R15" s="6" t="n">
        <f aca="false">O15/C15</f>
        <v>1802.40111801569</v>
      </c>
      <c r="S15" s="6" t="n">
        <f aca="false">C15/MAX(C31,C15+C16+C17)</f>
        <v>0.356121897933817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127</v>
      </c>
      <c r="B16" s="5" t="s">
        <v>129</v>
      </c>
      <c r="C16" s="6" t="n">
        <v>30617.6829342655</v>
      </c>
      <c r="D16" s="6" t="n">
        <v>23377.2962129793</v>
      </c>
      <c r="E16" s="6" t="n">
        <v>39966.061921861</v>
      </c>
      <c r="F16" s="6" t="n">
        <v>31188.4138825953</v>
      </c>
      <c r="G16" s="6" t="n">
        <v>22896.875247787</v>
      </c>
      <c r="H16" s="6" t="n">
        <v>41828.3239552697</v>
      </c>
      <c r="I16" s="6" t="n">
        <v>1038.88197297149</v>
      </c>
      <c r="J16" s="6" t="n">
        <v>471.063082100676</v>
      </c>
      <c r="K16" s="6" t="n">
        <v>2212.75892884313</v>
      </c>
      <c r="L16" s="6" t="n">
        <v>1054.6730689205</v>
      </c>
      <c r="M16" s="6" t="n">
        <v>468.718038377662</v>
      </c>
      <c r="N16" s="6" t="n">
        <v>2274.93774803793</v>
      </c>
      <c r="O16" s="6" t="n">
        <f aca="false">S16*O31</f>
        <v>55185345.9517701</v>
      </c>
      <c r="P16" s="6" t="n">
        <f aca="false">S16*P31</f>
        <v>47347476.4353941</v>
      </c>
      <c r="Q16" s="6" t="n">
        <f aca="false">S16*Q31</f>
        <v>64443035.2099039</v>
      </c>
      <c r="R16" s="6" t="n">
        <f aca="false">O16/C16</f>
        <v>1802.40111801569</v>
      </c>
      <c r="S16" s="6" t="n">
        <f aca="false">C16/MAX(C31,C15+C16+C17)</f>
        <v>0.301632390802524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127</v>
      </c>
      <c r="B17" s="5" t="s">
        <v>130</v>
      </c>
      <c r="C17" s="6" t="n">
        <v>21674.0405299435</v>
      </c>
      <c r="D17" s="6" t="n">
        <v>16400.4177486224</v>
      </c>
      <c r="E17" s="6" t="n">
        <v>28888.715642233</v>
      </c>
      <c r="F17" s="6" t="n">
        <v>22735.4993576072</v>
      </c>
      <c r="G17" s="6" t="n">
        <v>17092.1865262492</v>
      </c>
      <c r="H17" s="6" t="n">
        <v>30370.8392071672</v>
      </c>
      <c r="I17" s="6" t="n">
        <v>751.888368656041</v>
      </c>
      <c r="J17" s="6" t="n">
        <v>330.064646901859</v>
      </c>
      <c r="K17" s="6" t="n">
        <v>1779.33299625431</v>
      </c>
      <c r="L17" s="6" t="n">
        <v>787.645228137196</v>
      </c>
      <c r="M17" s="6" t="n">
        <v>343.87807145356</v>
      </c>
      <c r="N17" s="6" t="n">
        <v>1838.5072921004</v>
      </c>
      <c r="O17" s="6" t="n">
        <f aca="false">S17*O31</f>
        <v>39065314.8830876</v>
      </c>
      <c r="P17" s="6" t="n">
        <f aca="false">S17*P31</f>
        <v>33516942.6587405</v>
      </c>
      <c r="Q17" s="6" t="n">
        <f aca="false">S17*Q31</f>
        <v>45618767.4296177</v>
      </c>
      <c r="R17" s="6" t="n">
        <f aca="false">O17/C17</f>
        <v>1802.40111801569</v>
      </c>
      <c r="S17" s="6" t="n">
        <f aca="false">C17/MAX(C31,C15+C16+C17)</f>
        <v>0.213523429497703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127</v>
      </c>
      <c r="B18" s="5" t="s">
        <v>104</v>
      </c>
      <c r="C18" s="6" t="n">
        <v>15823.2866998668</v>
      </c>
      <c r="D18" s="6" t="n">
        <v>14359.1948101198</v>
      </c>
      <c r="E18" s="6" t="n">
        <v>17531.6993474113</v>
      </c>
      <c r="F18" s="6" t="n">
        <v>16686.4005146613</v>
      </c>
      <c r="G18" s="6" t="n">
        <v>15064.7856419752</v>
      </c>
      <c r="H18" s="6" t="n">
        <v>18792.8060947941</v>
      </c>
      <c r="I18" s="6" t="n">
        <v>1695.65999589992</v>
      </c>
      <c r="J18" s="6" t="n">
        <v>1209.36354007789</v>
      </c>
      <c r="K18" s="6" t="n">
        <v>2317.83891598173</v>
      </c>
      <c r="L18" s="6" t="n">
        <v>1786.05698070717</v>
      </c>
      <c r="M18" s="6" t="n">
        <v>1254.18503722915</v>
      </c>
      <c r="N18" s="6" t="n">
        <v>2414.24533003031</v>
      </c>
      <c r="O18" s="6" t="n">
        <f aca="false">S18*O28</f>
        <v>58165539.9054928</v>
      </c>
      <c r="P18" s="6" t="n">
        <f aca="false">S18*P28</f>
        <v>48743886.3879935</v>
      </c>
      <c r="Q18" s="6" t="n">
        <f aca="false">S18*Q28</f>
        <v>66632538.4672765</v>
      </c>
      <c r="R18" s="6" t="n">
        <f aca="false">O18/C18</f>
        <v>3675.94552312463</v>
      </c>
      <c r="S18" s="6" t="n">
        <f aca="false">C18/C28</f>
        <v>0.124373548866229</v>
      </c>
      <c r="T18" s="5" t="s">
        <v>95</v>
      </c>
      <c r="U18" s="5" t="s">
        <v>96</v>
      </c>
    </row>
    <row r="19" s="5" customFormat="true" ht="14.25" hidden="false" customHeight="true" outlineLevel="0" collapsed="false">
      <c r="A19" s="5" t="s">
        <v>127</v>
      </c>
      <c r="B19" s="5" t="s">
        <v>105</v>
      </c>
      <c r="C19" s="6" t="n">
        <v>13168.27</v>
      </c>
      <c r="D19" s="6" t="n">
        <v>4837.87</v>
      </c>
      <c r="E19" s="6" t="n">
        <v>24179.14</v>
      </c>
      <c r="F19" s="6" t="n">
        <v>14071.64</v>
      </c>
      <c r="G19" s="6" t="n">
        <v>5209.73</v>
      </c>
      <c r="H19" s="6" t="n">
        <v>25913.16</v>
      </c>
      <c r="I19" s="6" t="n">
        <v>1778.52</v>
      </c>
      <c r="J19" s="6" t="n">
        <v>891.01</v>
      </c>
      <c r="K19" s="6" t="n">
        <v>3034.72</v>
      </c>
      <c r="L19" s="6" t="n">
        <v>1948.72</v>
      </c>
      <c r="M19" s="6" t="n">
        <v>1004.06</v>
      </c>
      <c r="N19" s="6" t="n">
        <v>3225.67</v>
      </c>
      <c r="O19" s="6" t="n">
        <f aca="false">S19*O28</f>
        <v>48405843.1537963</v>
      </c>
      <c r="P19" s="6" t="n">
        <f aca="false">S19*P28</f>
        <v>40565065.2093554</v>
      </c>
      <c r="Q19" s="6" t="n">
        <f aca="false">S19*Q28</f>
        <v>55452149.3521235</v>
      </c>
      <c r="R19" s="6" t="n">
        <f aca="false">O19/C19</f>
        <v>3675.94552312463</v>
      </c>
      <c r="S19" s="6" t="n">
        <f aca="false">C19/C28</f>
        <v>0.103504695541065</v>
      </c>
    </row>
    <row r="20" customFormat="false" ht="14.25" hidden="false" customHeight="true" outlineLevel="0" collapsed="false">
      <c r="A20" s="1" t="s">
        <v>127</v>
      </c>
      <c r="B20" s="1" t="s">
        <v>110</v>
      </c>
      <c r="C20" s="12" t="n">
        <v>2302693.91741635</v>
      </c>
      <c r="D20" s="12" t="n">
        <v>1996428.09548411</v>
      </c>
      <c r="E20" s="12" t="n">
        <v>2636233.46684246</v>
      </c>
      <c r="F20" s="12" t="n">
        <v>2406120.00182441</v>
      </c>
      <c r="G20" s="12" t="n">
        <v>2068174.84688252</v>
      </c>
      <c r="H20" s="12" t="n">
        <v>2779411.47611523</v>
      </c>
      <c r="I20" s="12" t="n">
        <v>203292.205308154</v>
      </c>
      <c r="J20" s="12" t="n">
        <v>132198.704932483</v>
      </c>
      <c r="K20" s="12" t="n">
        <v>272825.108707562</v>
      </c>
      <c r="L20" s="12" t="n">
        <v>210903.87426768</v>
      </c>
      <c r="M20" s="12" t="n">
        <v>138798.889239894</v>
      </c>
      <c r="N20" s="12" t="n">
        <v>284473.133592276</v>
      </c>
      <c r="O20" s="12" t="n">
        <v>4348430239.72</v>
      </c>
      <c r="P20" s="12" t="n">
        <v>3824384744.06</v>
      </c>
      <c r="Q20" s="12" t="n">
        <v>4911784719.23</v>
      </c>
      <c r="R20" s="6" t="n">
        <f aca="false">O20/C20</f>
        <v>1888.41000830844</v>
      </c>
      <c r="S20" s="12"/>
      <c r="T20" s="1" t="s">
        <v>95</v>
      </c>
      <c r="U20" s="1" t="s">
        <v>96</v>
      </c>
    </row>
    <row r="21" s="5" customFormat="true" ht="14.25" hidden="false" customHeight="true" outlineLevel="0" collapsed="false">
      <c r="A21" s="5" t="s">
        <v>127</v>
      </c>
      <c r="B21" s="5" t="s">
        <v>5</v>
      </c>
      <c r="C21" s="6" t="n">
        <v>262787.72</v>
      </c>
      <c r="D21" s="6" t="n">
        <v>202211.63</v>
      </c>
      <c r="E21" s="6" t="n">
        <v>325272.23</v>
      </c>
      <c r="F21" s="6" t="n">
        <v>202389.44</v>
      </c>
      <c r="G21" s="6" t="n">
        <v>153206.28</v>
      </c>
      <c r="H21" s="6" t="n">
        <v>258632.92</v>
      </c>
      <c r="I21" s="6" t="n">
        <v>10243.9</v>
      </c>
      <c r="J21" s="6" t="n">
        <v>5285.61</v>
      </c>
      <c r="K21" s="6" t="n">
        <v>16562.64</v>
      </c>
      <c r="L21" s="6" t="n">
        <v>8109.86</v>
      </c>
      <c r="M21" s="6" t="n">
        <v>4058.84</v>
      </c>
      <c r="N21" s="6" t="n">
        <v>13471.68</v>
      </c>
      <c r="O21" s="6" t="n">
        <f aca="false">O29*S21</f>
        <v>43570829.8408794</v>
      </c>
      <c r="P21" s="6" t="n">
        <f aca="false">P29*S21</f>
        <v>37793773.9882951</v>
      </c>
      <c r="Q21" s="6" t="n">
        <f aca="false">Q29*S21</f>
        <v>49501578.7887788</v>
      </c>
      <c r="R21" s="6" t="n">
        <f aca="false">O21/C21</f>
        <v>165.802381636704</v>
      </c>
      <c r="S21" s="6" t="n">
        <f aca="false">C21/C29</f>
        <v>0.139809585449411</v>
      </c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127</v>
      </c>
      <c r="B22" s="5" t="s">
        <v>114</v>
      </c>
      <c r="C22" s="6" t="n">
        <v>36401.3426320011</v>
      </c>
      <c r="D22" s="6" t="n">
        <v>30097.71002723</v>
      </c>
      <c r="E22" s="6" t="n">
        <v>43582.829365298</v>
      </c>
      <c r="F22" s="6" t="n">
        <v>38299.5689834525</v>
      </c>
      <c r="G22" s="6" t="n">
        <v>31491.5801933959</v>
      </c>
      <c r="H22" s="6" t="n">
        <v>46002.0666437032</v>
      </c>
      <c r="I22" s="6" t="n">
        <v>5016.4439300174</v>
      </c>
      <c r="J22" s="6" t="n">
        <v>3298.12076514318</v>
      </c>
      <c r="K22" s="6" t="n">
        <v>7136.4558303331</v>
      </c>
      <c r="L22" s="6" t="n">
        <v>5238.55882255278</v>
      </c>
      <c r="M22" s="6" t="n">
        <v>3502.58768013817</v>
      </c>
      <c r="N22" s="6" t="n">
        <v>7362.94605170327</v>
      </c>
      <c r="O22" s="6" t="n">
        <v>371849271.7</v>
      </c>
      <c r="P22" s="6" t="n">
        <v>317881983.25</v>
      </c>
      <c r="Q22" s="6" t="n">
        <v>444504190.21</v>
      </c>
      <c r="R22" s="6" t="n">
        <f aca="false">O22/C22</f>
        <v>10215.2625374071</v>
      </c>
      <c r="S22" s="6"/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127</v>
      </c>
      <c r="B23" s="5" t="s">
        <v>106</v>
      </c>
      <c r="C23" s="6" t="n">
        <v>3924.87</v>
      </c>
      <c r="D23" s="6" t="n">
        <v>3346.68</v>
      </c>
      <c r="E23" s="6" t="n">
        <v>4626.82</v>
      </c>
      <c r="F23" s="6" t="n">
        <v>4252.3</v>
      </c>
      <c r="G23" s="6" t="n">
        <v>3445.84</v>
      </c>
      <c r="H23" s="6" t="n">
        <v>5135.32</v>
      </c>
      <c r="I23" s="6" t="n">
        <v>364.51</v>
      </c>
      <c r="J23" s="6" t="n">
        <v>249.14</v>
      </c>
      <c r="K23" s="6" t="n">
        <v>480.21</v>
      </c>
      <c r="L23" s="6" t="n">
        <v>392.9</v>
      </c>
      <c r="M23" s="6" t="n">
        <v>263.75</v>
      </c>
      <c r="N23" s="6" t="n">
        <v>553.15</v>
      </c>
      <c r="O23" s="6" t="n">
        <v>54189560.28</v>
      </c>
      <c r="P23" s="6" t="n">
        <v>45426865.6</v>
      </c>
      <c r="Q23" s="6" t="n">
        <v>63638980.36</v>
      </c>
      <c r="R23" s="6" t="n">
        <f aca="false">O23/C23</f>
        <v>13806.7146886394</v>
      </c>
      <c r="S23" s="6"/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127</v>
      </c>
      <c r="B24" s="5" t="s">
        <v>41</v>
      </c>
      <c r="C24" s="6" t="n">
        <v>147013.668524635</v>
      </c>
      <c r="D24" s="6" t="n">
        <v>129703.07091163</v>
      </c>
      <c r="E24" s="6" t="n">
        <v>166266.79964194</v>
      </c>
      <c r="F24" s="6" t="n">
        <v>153253.317011665</v>
      </c>
      <c r="G24" s="6" t="n">
        <v>133180.502566122</v>
      </c>
      <c r="H24" s="6" t="n">
        <v>175823.70480915</v>
      </c>
      <c r="I24" s="6" t="n">
        <v>20018.7694541632</v>
      </c>
      <c r="J24" s="6" t="n">
        <v>14023.3057414386</v>
      </c>
      <c r="K24" s="6" t="n">
        <v>25840.857730546</v>
      </c>
      <c r="L24" s="6" t="n">
        <v>20725.0669106634</v>
      </c>
      <c r="M24" s="6" t="n">
        <v>14695.9522329056</v>
      </c>
      <c r="N24" s="6" t="n">
        <v>27109.5346336316</v>
      </c>
      <c r="O24" s="6" t="n">
        <v>505909692.46</v>
      </c>
      <c r="P24" s="6" t="n">
        <v>433890271.81</v>
      </c>
      <c r="Q24" s="6" t="n">
        <v>581200412.09</v>
      </c>
      <c r="R24" s="6" t="n">
        <f aca="false">O24/C24</f>
        <v>3441.24255613161</v>
      </c>
      <c r="S24" s="6"/>
      <c r="T24" s="5" t="s">
        <v>95</v>
      </c>
      <c r="U24" s="5" t="s">
        <v>96</v>
      </c>
    </row>
    <row r="25" customFormat="false" ht="14.25" hidden="false" customHeight="true" outlineLevel="0" collapsed="false">
      <c r="R25" s="6"/>
    </row>
    <row r="26" customFormat="false" ht="14.25" hidden="false" customHeight="true" outlineLevel="0" collapsed="false">
      <c r="R26" s="6"/>
    </row>
    <row r="27" customFormat="false" ht="14.25" hidden="false" customHeight="true" outlineLevel="0" collapsed="false">
      <c r="R27" s="6"/>
    </row>
    <row r="28" s="5" customFormat="true" ht="14.25" hidden="false" customHeight="true" outlineLevel="0" collapsed="false">
      <c r="B28" s="5" t="s">
        <v>107</v>
      </c>
      <c r="C28" s="6" t="n">
        <v>127223.89</v>
      </c>
      <c r="D28" s="6" t="n">
        <v>114953.4</v>
      </c>
      <c r="E28" s="6" t="n">
        <v>141970.86</v>
      </c>
      <c r="F28" s="6" t="n">
        <v>134588.7</v>
      </c>
      <c r="G28" s="6" t="n">
        <v>119422.84</v>
      </c>
      <c r="H28" s="6" t="n">
        <v>150559.39</v>
      </c>
      <c r="I28" s="6" t="n">
        <v>12888.42</v>
      </c>
      <c r="J28" s="6" t="n">
        <v>8996.41</v>
      </c>
      <c r="K28" s="6" t="n">
        <v>17633.32</v>
      </c>
      <c r="L28" s="6" t="n">
        <v>13554.11</v>
      </c>
      <c r="M28" s="6" t="n">
        <v>9522.05</v>
      </c>
      <c r="N28" s="6" t="n">
        <v>18541.79</v>
      </c>
      <c r="O28" s="6" t="n">
        <v>467668088.88</v>
      </c>
      <c r="P28" s="6" t="n">
        <v>391915216.96</v>
      </c>
      <c r="Q28" s="6" t="n">
        <v>535745253.51</v>
      </c>
      <c r="R28" s="6" t="n">
        <f aca="false">O28/C28</f>
        <v>3675.94552312463</v>
      </c>
      <c r="S28" s="6"/>
    </row>
    <row r="29" s="5" customFormat="true" ht="14.25" hidden="false" customHeight="true" outlineLevel="0" collapsed="false">
      <c r="B29" s="5" t="s">
        <v>108</v>
      </c>
      <c r="C29" s="6" t="n">
        <v>1879611.61</v>
      </c>
      <c r="D29" s="6" t="n">
        <v>1313107.73</v>
      </c>
      <c r="E29" s="6" t="n">
        <v>2557254.13</v>
      </c>
      <c r="F29" s="6" t="n">
        <v>1850495.67</v>
      </c>
      <c r="G29" s="6" t="n">
        <v>1160162.56</v>
      </c>
      <c r="H29" s="6" t="n">
        <v>2681313.64</v>
      </c>
      <c r="I29" s="6" t="n">
        <v>39893.56</v>
      </c>
      <c r="J29" s="6" t="n">
        <v>21533.08</v>
      </c>
      <c r="K29" s="6" t="n">
        <v>63371.12</v>
      </c>
      <c r="L29" s="6" t="n">
        <v>37295.36</v>
      </c>
      <c r="M29" s="6" t="n">
        <v>19271.99</v>
      </c>
      <c r="N29" s="6" t="n">
        <v>63957.65</v>
      </c>
      <c r="O29" s="6" t="n">
        <v>311644081.49</v>
      </c>
      <c r="P29" s="6" t="n">
        <v>270323196.13</v>
      </c>
      <c r="Q29" s="6" t="n">
        <v>354064269.84</v>
      </c>
      <c r="R29" s="6" t="n">
        <f aca="false">O29/C29</f>
        <v>165.802381636704</v>
      </c>
      <c r="S29" s="6"/>
    </row>
    <row r="30" s="5" customFormat="true" ht="14.25" hidden="false" customHeight="true" outlineLevel="0" collapsed="false">
      <c r="B30" s="5" t="s">
        <v>109</v>
      </c>
      <c r="C30" s="6" t="n">
        <v>5987645.52220278</v>
      </c>
      <c r="D30" s="6" t="n">
        <v>5600083.69228873</v>
      </c>
      <c r="E30" s="6" t="n">
        <v>6411482.02258284</v>
      </c>
      <c r="F30" s="6" t="n">
        <v>6322887.21962979</v>
      </c>
      <c r="G30" s="6" t="n">
        <v>5929228.10553063</v>
      </c>
      <c r="H30" s="6" t="n">
        <v>6788398.49760466</v>
      </c>
      <c r="I30" s="6" t="n">
        <v>224670.3255046</v>
      </c>
      <c r="J30" s="6" t="n">
        <v>160789.432445709</v>
      </c>
      <c r="K30" s="6" t="n">
        <v>312904.270314797</v>
      </c>
      <c r="L30" s="6" t="n">
        <v>239840.343935005</v>
      </c>
      <c r="M30" s="6" t="n">
        <v>170857.747394517</v>
      </c>
      <c r="N30" s="6" t="n">
        <v>334038.529299744</v>
      </c>
      <c r="O30" s="6" t="n">
        <f aca="false">O6+O7</f>
        <v>2721525172.47</v>
      </c>
      <c r="P30" s="6" t="n">
        <f aca="false">P6+P7</f>
        <v>2384598949.4</v>
      </c>
      <c r="Q30" s="6" t="n">
        <f aca="false">Q6+Q7</f>
        <v>3105931181.1</v>
      </c>
      <c r="R30" s="6" t="n">
        <f aca="false">O30/C30</f>
        <v>454.523428679657</v>
      </c>
      <c r="S30" s="6"/>
    </row>
    <row r="31" s="5" customFormat="true" ht="14.25" hidden="false" customHeight="true" outlineLevel="0" collapsed="false">
      <c r="B31" s="5" t="s">
        <v>131</v>
      </c>
      <c r="C31" s="6" t="n">
        <v>101506.61489903</v>
      </c>
      <c r="D31" s="6" t="n">
        <v>85844.2291202176</v>
      </c>
      <c r="E31" s="6" t="n">
        <v>120772.137722473</v>
      </c>
      <c r="F31" s="6" t="n">
        <v>105901.396967248</v>
      </c>
      <c r="G31" s="6" t="n">
        <v>88148.5370277741</v>
      </c>
      <c r="H31" s="6" t="n">
        <v>127581.351085553</v>
      </c>
      <c r="I31" s="6" t="n">
        <v>3486.21123224196</v>
      </c>
      <c r="J31" s="6" t="n">
        <v>1588.36931095213</v>
      </c>
      <c r="K31" s="6" t="n">
        <v>7626.79992983748</v>
      </c>
      <c r="L31" s="6" t="n">
        <v>3620.65589582894</v>
      </c>
      <c r="M31" s="6" t="n">
        <v>1686.00854059282</v>
      </c>
      <c r="N31" s="6" t="n">
        <v>7944.584781004</v>
      </c>
      <c r="O31" s="6" t="n">
        <v>182955636.18</v>
      </c>
      <c r="P31" s="9" t="n">
        <v>156970795.84</v>
      </c>
      <c r="Q31" s="9" t="n">
        <v>213647596.13</v>
      </c>
      <c r="R31" s="6" t="n">
        <f aca="false">O31/C31</f>
        <v>1802.40111801569</v>
      </c>
      <c r="S31" s="6"/>
      <c r="T31" s="5" t="s">
        <v>95</v>
      </c>
      <c r="U31" s="5" t="s">
        <v>96</v>
      </c>
    </row>
    <row r="33" customFormat="false" ht="14.25" hidden="false" customHeight="true" outlineLevel="0" collapsed="false">
      <c r="C33" s="1" t="s">
        <v>123</v>
      </c>
      <c r="D33" s="1" t="n">
        <f aca="false">C6/C30</f>
        <v>0.299826136040909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1" activeCellId="0" sqref="P1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0.78"/>
    <col collapsed="false" customWidth="true" hidden="false" outlineLevel="0" max="3" min="3" style="1" width="7"/>
    <col collapsed="false" customWidth="true" hidden="true" outlineLevel="0" max="4" min="4" style="1" width="11.11"/>
    <col collapsed="false" customWidth="true" hidden="true" outlineLevel="0" max="5" min="5" style="1" width="13.44"/>
    <col collapsed="false" customWidth="true" hidden="true" outlineLevel="0" max="6" min="6" style="1" width="16.77"/>
    <col collapsed="false" customWidth="true" hidden="true" outlineLevel="0" max="7" min="7" style="1" width="12.22"/>
    <col collapsed="false" customWidth="true" hidden="true" outlineLevel="0" max="8" min="8" style="1" width="13.75"/>
    <col collapsed="false" customWidth="true" hidden="true" outlineLevel="0" max="9" min="9" style="1" width="13.88"/>
    <col collapsed="false" customWidth="true" hidden="true" outlineLevel="0" max="14" min="10" style="1" width="9.56"/>
    <col collapsed="false" customWidth="true" hidden="true" outlineLevel="0" max="15" min="15" style="1" width="13.67"/>
    <col collapsed="false" customWidth="true" hidden="false" outlineLevel="0" max="17" min="16" style="1" width="13.67"/>
    <col collapsed="false" customWidth="true" hidden="false" outlineLevel="0" max="18" min="18" style="1" width="9.56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132</v>
      </c>
      <c r="B2" s="5" t="s">
        <v>94</v>
      </c>
      <c r="C2" s="6" t="n">
        <v>5772.17554162742</v>
      </c>
      <c r="D2" s="6" t="n">
        <v>3716.92318314128</v>
      </c>
      <c r="E2" s="6" t="n">
        <v>8545.707064888</v>
      </c>
      <c r="F2" s="6" t="n">
        <v>5918.40893354084</v>
      </c>
      <c r="G2" s="6" t="n">
        <v>3689.40108012072</v>
      </c>
      <c r="H2" s="6" t="n">
        <v>9303.37123617399</v>
      </c>
      <c r="I2" s="6" t="n">
        <v>504.603968082634</v>
      </c>
      <c r="J2" s="6" t="n">
        <v>316.041837553794</v>
      </c>
      <c r="K2" s="6" t="n">
        <v>807.936672791182</v>
      </c>
      <c r="L2" s="6" t="n">
        <v>511.254402405788</v>
      </c>
      <c r="M2" s="6" t="n">
        <v>302.413678620973</v>
      </c>
      <c r="N2" s="6" t="n">
        <v>819.799013240417</v>
      </c>
      <c r="O2" s="6" t="n">
        <v>302042949.72</v>
      </c>
      <c r="P2" s="6" t="n">
        <v>255753581.05</v>
      </c>
      <c r="Q2" s="6" t="n">
        <v>345736659.51</v>
      </c>
      <c r="R2" s="6" t="n">
        <f aca="false">O2/C2</f>
        <v>52327.4019547301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132</v>
      </c>
      <c r="B3" s="5" t="s">
        <v>97</v>
      </c>
      <c r="C3" s="6" t="n">
        <v>34483.0728361202</v>
      </c>
      <c r="D3" s="6" t="n">
        <v>28167.1953428152</v>
      </c>
      <c r="E3" s="6" t="n">
        <v>41879.1585538101</v>
      </c>
      <c r="F3" s="6" t="n">
        <v>34615.4583576567</v>
      </c>
      <c r="G3" s="6" t="n">
        <v>27512.6637893678</v>
      </c>
      <c r="H3" s="6" t="n">
        <v>43527.163087134</v>
      </c>
      <c r="I3" s="6" t="n">
        <v>5094.87142179777</v>
      </c>
      <c r="J3" s="6" t="n">
        <v>3311.7031432539</v>
      </c>
      <c r="K3" s="6" t="n">
        <v>7068.91686820391</v>
      </c>
      <c r="L3" s="6" t="n">
        <v>5084.34941600221</v>
      </c>
      <c r="M3" s="6" t="n">
        <v>3215.64738291364</v>
      </c>
      <c r="N3" s="6" t="n">
        <v>7222.37608884188</v>
      </c>
      <c r="O3" s="6" t="n">
        <f aca="false">S3*O27</f>
        <v>101392575.95413</v>
      </c>
      <c r="P3" s="6" t="n">
        <f aca="false">S3*P27</f>
        <v>85607223.8126747</v>
      </c>
      <c r="Q3" s="6" t="n">
        <f aca="false">S3*Q27</f>
        <v>117350507.372766</v>
      </c>
      <c r="R3" s="6" t="n">
        <f aca="false">O3/C3</f>
        <v>2940.3579094008</v>
      </c>
      <c r="S3" s="6" t="n">
        <f aca="false">C3/C27</f>
        <v>0.288930215042959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132</v>
      </c>
      <c r="B4" s="5" t="s">
        <v>119</v>
      </c>
      <c r="C4" s="6" t="n">
        <v>101720.477946233</v>
      </c>
      <c r="D4" s="6" t="n">
        <v>84415.7239931796</v>
      </c>
      <c r="E4" s="6" t="n">
        <v>125977.348313359</v>
      </c>
      <c r="F4" s="6" t="n">
        <v>110440.713232316</v>
      </c>
      <c r="G4" s="6" t="n">
        <v>87136.5741149611</v>
      </c>
      <c r="H4" s="6" t="n">
        <v>145651.514415761</v>
      </c>
      <c r="I4" s="6" t="n">
        <v>6112.61431257032</v>
      </c>
      <c r="J4" s="6" t="n">
        <v>3919.88861544176</v>
      </c>
      <c r="K4" s="6" t="n">
        <v>9331.903665428</v>
      </c>
      <c r="L4" s="6" t="n">
        <v>6604.48242962119</v>
      </c>
      <c r="M4" s="6" t="n">
        <v>4170.80791796632</v>
      </c>
      <c r="N4" s="6" t="n">
        <v>10262.1620746455</v>
      </c>
      <c r="O4" s="6" t="n">
        <v>865587884.19</v>
      </c>
      <c r="P4" s="6" t="n">
        <v>738359237.61</v>
      </c>
      <c r="Q4" s="6" t="n">
        <v>989524823.77</v>
      </c>
      <c r="R4" s="6" t="n">
        <f aca="false">O4/C4</f>
        <v>8509.47519778199</v>
      </c>
      <c r="S4" s="6"/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132</v>
      </c>
      <c r="B5" s="5" t="s">
        <v>122</v>
      </c>
      <c r="C5" s="6" t="n">
        <v>938640.625141353</v>
      </c>
      <c r="D5" s="6" t="n">
        <v>843632.18648084</v>
      </c>
      <c r="E5" s="6" t="n">
        <v>1038096.65978398</v>
      </c>
      <c r="F5" s="6" t="n">
        <v>1045074.97117294</v>
      </c>
      <c r="G5" s="6" t="n">
        <v>930730.585451094</v>
      </c>
      <c r="H5" s="6" t="n">
        <v>1173217.33983105</v>
      </c>
      <c r="I5" s="6" t="n">
        <v>56113.7942845016</v>
      </c>
      <c r="J5" s="6" t="n">
        <v>38618.3404741514</v>
      </c>
      <c r="K5" s="6" t="n">
        <v>77434.7009792858</v>
      </c>
      <c r="L5" s="6" t="n">
        <v>62255.0497123544</v>
      </c>
      <c r="M5" s="6" t="n">
        <v>42715.8247838495</v>
      </c>
      <c r="N5" s="6" t="n">
        <v>86604.3172033702</v>
      </c>
      <c r="O5" s="6" t="n">
        <v>6398450691.54</v>
      </c>
      <c r="P5" s="6" t="n">
        <v>5526391909.44</v>
      </c>
      <c r="Q5" s="6" t="n">
        <v>7296514215.54</v>
      </c>
      <c r="R5" s="6" t="n">
        <f aca="false">O5/C5</f>
        <v>6816.72039346948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132</v>
      </c>
      <c r="B6" s="5" t="s">
        <v>26</v>
      </c>
      <c r="C6" s="6" t="n">
        <v>2101209.26058948</v>
      </c>
      <c r="D6" s="6" t="n">
        <v>1795710.01275973</v>
      </c>
      <c r="E6" s="6" t="n">
        <v>2485311.08004498</v>
      </c>
      <c r="F6" s="6" t="n">
        <v>2396805.3936711</v>
      </c>
      <c r="G6" s="6" t="n">
        <v>2033904.37479679</v>
      </c>
      <c r="H6" s="6" t="n">
        <v>2855593.70007355</v>
      </c>
      <c r="I6" s="6" t="n">
        <v>87898.1143022007</v>
      </c>
      <c r="J6" s="6" t="n">
        <v>61508.8339748692</v>
      </c>
      <c r="K6" s="6" t="n">
        <v>119853.519729284</v>
      </c>
      <c r="L6" s="6" t="n">
        <v>99570.4517022773</v>
      </c>
      <c r="M6" s="6" t="n">
        <v>69176.9542664396</v>
      </c>
      <c r="N6" s="6" t="n">
        <v>135950.236412771</v>
      </c>
      <c r="O6" s="6" t="n">
        <v>865029328.74</v>
      </c>
      <c r="P6" s="6" t="n">
        <v>749314365.43</v>
      </c>
      <c r="Q6" s="6" t="n">
        <v>975573675.4</v>
      </c>
      <c r="R6" s="6" t="n">
        <f aca="false">O6/C6</f>
        <v>411.681665869549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132</v>
      </c>
      <c r="B7" s="5" t="s">
        <v>9</v>
      </c>
      <c r="C7" s="6" t="n">
        <v>320534.092648582</v>
      </c>
      <c r="D7" s="6" t="n">
        <v>255111.710459248</v>
      </c>
      <c r="E7" s="6" t="n">
        <v>405369.578109049</v>
      </c>
      <c r="F7" s="6" t="n">
        <v>268011.282868857</v>
      </c>
      <c r="G7" s="6" t="n">
        <v>185951.303456049</v>
      </c>
      <c r="H7" s="6" t="n">
        <v>377948.078111662</v>
      </c>
      <c r="I7" s="6" t="n">
        <v>10425.3564070122</v>
      </c>
      <c r="J7" s="6" t="n">
        <v>6653.30652844776</v>
      </c>
      <c r="K7" s="6" t="n">
        <v>14669.1738750585</v>
      </c>
      <c r="L7" s="6" t="n">
        <v>8674.97461389382</v>
      </c>
      <c r="M7" s="6" t="n">
        <v>5055.95655360601</v>
      </c>
      <c r="N7" s="6" t="n">
        <v>13417.347977797</v>
      </c>
      <c r="O7" s="6" t="n">
        <v>58387389.02</v>
      </c>
      <c r="P7" s="6" t="n">
        <v>48774717.14</v>
      </c>
      <c r="Q7" s="6" t="n">
        <v>68472414.65</v>
      </c>
      <c r="R7" s="6" t="n">
        <f aca="false">O7/C7</f>
        <v>182.156564181811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132</v>
      </c>
      <c r="B8" s="5" t="s">
        <v>22</v>
      </c>
      <c r="C8" s="6" t="n">
        <v>5423762.41762347</v>
      </c>
      <c r="D8" s="7" t="n">
        <v>5095076.32754583</v>
      </c>
      <c r="E8" s="7" t="n">
        <v>5752448.50770111</v>
      </c>
      <c r="F8" s="6" t="n">
        <v>5342463.69285679</v>
      </c>
      <c r="G8" s="7" t="n">
        <v>5025429.56262245</v>
      </c>
      <c r="H8" s="7" t="n">
        <v>5659497.82309113</v>
      </c>
      <c r="I8" s="6" t="n">
        <f aca="false">I29-I6</f>
        <v>173818.012200856</v>
      </c>
      <c r="J8" s="6" t="n">
        <f aca="false">J29-J6</f>
        <v>124876.591758083</v>
      </c>
      <c r="K8" s="6" t="n">
        <f aca="false">K29-K6</f>
        <v>238116.063685029</v>
      </c>
      <c r="L8" s="6" t="n">
        <f aca="false">L29-L6</f>
        <v>172150.474637375</v>
      </c>
      <c r="M8" s="6" t="n">
        <f aca="false">M29-M6</f>
        <v>126298.908805664</v>
      </c>
      <c r="N8" s="6" t="n">
        <f aca="false">N29-N6</f>
        <v>233610.35136152</v>
      </c>
      <c r="O8" s="5" t="n">
        <v>1771072338.58</v>
      </c>
      <c r="P8" s="5" t="n">
        <v>1517522590.93</v>
      </c>
      <c r="Q8" s="5" t="n">
        <v>2011064892.3</v>
      </c>
      <c r="R8" s="6"/>
    </row>
    <row r="9" s="5" customFormat="true" ht="14.25" hidden="false" customHeight="true" outlineLevel="0" collapsed="false">
      <c r="A9" s="5" t="s">
        <v>132</v>
      </c>
      <c r="B9" s="5" t="s">
        <v>120</v>
      </c>
      <c r="C9" s="6" t="n">
        <v>3227325.06628274</v>
      </c>
      <c r="D9" s="6" t="n">
        <v>2675816.70733654</v>
      </c>
      <c r="E9" s="6" t="n">
        <v>3802021.16003433</v>
      </c>
      <c r="F9" s="6" t="n">
        <v>3262664.81434544</v>
      </c>
      <c r="G9" s="6" t="n">
        <v>2707294.57728849</v>
      </c>
      <c r="H9" s="6" t="n">
        <v>3844541.32652273</v>
      </c>
      <c r="I9" s="6" t="n">
        <v>369906.608634738</v>
      </c>
      <c r="J9" s="6" t="n">
        <v>234195.430567438</v>
      </c>
      <c r="K9" s="6" t="n">
        <v>517527.762422452</v>
      </c>
      <c r="L9" s="6" t="n">
        <v>371946.33743666</v>
      </c>
      <c r="M9" s="6" t="n">
        <v>235750.305491712</v>
      </c>
      <c r="N9" s="6" t="n">
        <v>523672.983005879</v>
      </c>
      <c r="O9" s="6" t="n">
        <v>2376623295.05</v>
      </c>
      <c r="P9" s="6" t="n">
        <v>2038398872.33</v>
      </c>
      <c r="Q9" s="6" t="n">
        <v>2739441104.41</v>
      </c>
      <c r="R9" s="6" t="n">
        <f aca="false">O9/C9</f>
        <v>736.406542953981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132</v>
      </c>
      <c r="B10" s="5" t="s">
        <v>98</v>
      </c>
      <c r="C10" s="6" t="n">
        <v>1524.01998372694</v>
      </c>
      <c r="D10" s="6" t="n">
        <v>829.442908478156</v>
      </c>
      <c r="E10" s="6" t="n">
        <v>2970.21943579029</v>
      </c>
      <c r="F10" s="6" t="n">
        <v>1619.2084105571</v>
      </c>
      <c r="G10" s="6" t="n">
        <v>832.533027451885</v>
      </c>
      <c r="H10" s="6" t="n">
        <v>3176.01188756026</v>
      </c>
      <c r="I10" s="6" t="n">
        <v>151.827302744177</v>
      </c>
      <c r="J10" s="6" t="n">
        <v>72.9588191962361</v>
      </c>
      <c r="K10" s="6" t="n">
        <v>303.347981700128</v>
      </c>
      <c r="L10" s="6" t="n">
        <v>162.309658416135</v>
      </c>
      <c r="M10" s="6" t="n">
        <v>77.6800822518329</v>
      </c>
      <c r="N10" s="6" t="n">
        <v>334.428206012056</v>
      </c>
      <c r="O10" s="6" t="n">
        <v>103228035.35</v>
      </c>
      <c r="P10" s="6" t="n">
        <v>88341915.8</v>
      </c>
      <c r="Q10" s="6" t="n">
        <v>121202132.52</v>
      </c>
      <c r="R10" s="6" t="n">
        <f aca="false">O10/C10</f>
        <v>67734.0431570715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132</v>
      </c>
      <c r="B11" s="5" t="s">
        <v>44</v>
      </c>
      <c r="C11" s="6" t="n">
        <v>1020.6176970434</v>
      </c>
      <c r="D11" s="6" t="n">
        <v>856.966477698473</v>
      </c>
      <c r="E11" s="6" t="n">
        <v>1221.10123666282</v>
      </c>
      <c r="F11" s="6" t="n">
        <v>1108.06450273896</v>
      </c>
      <c r="G11" s="6" t="n">
        <v>913.906271260495</v>
      </c>
      <c r="H11" s="6" t="n">
        <v>1350.82913604259</v>
      </c>
      <c r="I11" s="6" t="n">
        <v>216.992694509859</v>
      </c>
      <c r="J11" s="6" t="n">
        <v>149.483497208501</v>
      </c>
      <c r="K11" s="6" t="n">
        <v>308.209003875684</v>
      </c>
      <c r="L11" s="6" t="n">
        <v>235.602647445052</v>
      </c>
      <c r="M11" s="6" t="n">
        <v>160.295486592978</v>
      </c>
      <c r="N11" s="6" t="n">
        <v>342.98590962987</v>
      </c>
      <c r="O11" s="6" t="n">
        <v>107322531.87</v>
      </c>
      <c r="P11" s="6" t="n">
        <v>87201939.27</v>
      </c>
      <c r="Q11" s="6" t="n">
        <v>127986972.6</v>
      </c>
      <c r="R11" s="6" t="n">
        <f aca="false">O11/C11</f>
        <v>105154.48848369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132</v>
      </c>
      <c r="B12" s="5" t="s">
        <v>12</v>
      </c>
      <c r="C12" s="6" t="n">
        <v>41689.9029213182</v>
      </c>
      <c r="D12" s="6" t="n">
        <v>37087.8827842349</v>
      </c>
      <c r="E12" s="6" t="n">
        <v>46706.0502981033</v>
      </c>
      <c r="F12" s="6" t="n">
        <v>42878.9815184746</v>
      </c>
      <c r="G12" s="6" t="n">
        <v>37993.0196364139</v>
      </c>
      <c r="H12" s="6" t="n">
        <v>48208.3002164635</v>
      </c>
      <c r="I12" s="6" t="n">
        <v>10625.00090512</v>
      </c>
      <c r="J12" s="6" t="n">
        <v>7480.06480599599</v>
      </c>
      <c r="K12" s="6" t="n">
        <v>13635.2684805448</v>
      </c>
      <c r="L12" s="6" t="n">
        <v>10919.6807507024</v>
      </c>
      <c r="M12" s="6" t="n">
        <v>7879.96439375507</v>
      </c>
      <c r="N12" s="6" t="n">
        <v>14219.1081298995</v>
      </c>
      <c r="O12" s="6" t="n">
        <v>1715107912.41</v>
      </c>
      <c r="P12" s="6" t="n">
        <v>1447251516.08</v>
      </c>
      <c r="Q12" s="6" t="n">
        <v>2000557149.58</v>
      </c>
      <c r="R12" s="6" t="n">
        <f aca="false">O12/C12</f>
        <v>41139.6475460003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132</v>
      </c>
      <c r="B13" s="5" t="s">
        <v>113</v>
      </c>
      <c r="C13" s="6" t="n">
        <v>753386.016511313</v>
      </c>
      <c r="D13" s="6" t="n">
        <v>438694.958966502</v>
      </c>
      <c r="E13" s="6" t="n">
        <v>1194668.97503217</v>
      </c>
      <c r="F13" s="6" t="n">
        <v>760421.73771062</v>
      </c>
      <c r="G13" s="6" t="n">
        <v>440586.576894465</v>
      </c>
      <c r="H13" s="6" t="n">
        <v>1219432.20773404</v>
      </c>
      <c r="I13" s="6" t="n">
        <v>75495.7206672766</v>
      </c>
      <c r="J13" s="6" t="n">
        <v>38260.2106275525</v>
      </c>
      <c r="K13" s="6" t="n">
        <v>133302.419679703</v>
      </c>
      <c r="L13" s="6" t="n">
        <v>75804.5721513802</v>
      </c>
      <c r="M13" s="6" t="n">
        <v>38145.0119747543</v>
      </c>
      <c r="N13" s="6" t="n">
        <v>133831.973269448</v>
      </c>
      <c r="O13" s="6" t="n">
        <v>1337513085.39</v>
      </c>
      <c r="P13" s="6" t="n">
        <v>1123266276.24</v>
      </c>
      <c r="Q13" s="6" t="n">
        <v>1559705610.36</v>
      </c>
      <c r="R13" s="6" t="n">
        <f aca="false">O13/C13</f>
        <v>1775.33569256248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132</v>
      </c>
      <c r="B14" s="5" t="s">
        <v>101</v>
      </c>
      <c r="C14" s="6" t="n">
        <v>299780.91</v>
      </c>
      <c r="D14" s="6" t="n">
        <v>251093.71</v>
      </c>
      <c r="E14" s="6" t="n">
        <v>349327.72</v>
      </c>
      <c r="F14" s="6" t="n">
        <v>306210.58</v>
      </c>
      <c r="G14" s="6" t="n">
        <v>257555.68</v>
      </c>
      <c r="H14" s="6" t="n">
        <v>361392.16</v>
      </c>
      <c r="I14" s="6" t="n">
        <v>34790.84</v>
      </c>
      <c r="J14" s="6" t="n">
        <v>25771.58</v>
      </c>
      <c r="K14" s="6" t="n">
        <v>43935.42</v>
      </c>
      <c r="L14" s="6" t="n">
        <v>35269.21</v>
      </c>
      <c r="M14" s="6" t="n">
        <v>25982.49</v>
      </c>
      <c r="N14" s="6" t="n">
        <v>44834.17</v>
      </c>
      <c r="O14" s="6" t="n">
        <v>100218912.09</v>
      </c>
      <c r="P14" s="6" t="n">
        <v>81320980.47</v>
      </c>
      <c r="Q14" s="6" t="n">
        <v>123843978.54</v>
      </c>
      <c r="R14" s="6" t="n">
        <f aca="false">O14/C14</f>
        <v>334.307184837087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132</v>
      </c>
      <c r="B15" s="5" t="s">
        <v>64</v>
      </c>
      <c r="C15" s="6" t="n">
        <v>102832.485917219</v>
      </c>
      <c r="D15" s="6" t="n">
        <v>56613.9968662793</v>
      </c>
      <c r="E15" s="6" t="n">
        <v>162021.395733927</v>
      </c>
      <c r="F15" s="6" t="n">
        <v>102745.335578714</v>
      </c>
      <c r="G15" s="6" t="n">
        <v>56665.0990479082</v>
      </c>
      <c r="H15" s="6" t="n">
        <v>162115.398547658</v>
      </c>
      <c r="I15" s="6" t="n">
        <v>3471.90654568639</v>
      </c>
      <c r="J15" s="6" t="n">
        <v>1172.97060871937</v>
      </c>
      <c r="K15" s="6" t="n">
        <v>7833.83152613456</v>
      </c>
      <c r="L15" s="6" t="n">
        <v>3483.60270541825</v>
      </c>
      <c r="M15" s="6" t="n">
        <v>1188.16315023511</v>
      </c>
      <c r="N15" s="6" t="n">
        <v>8117.29795805679</v>
      </c>
      <c r="O15" s="6" t="n">
        <f aca="false">S15*O30</f>
        <v>70007194.9581895</v>
      </c>
      <c r="P15" s="6" t="n">
        <f aca="false">S15*P30</f>
        <v>59328484.4667012</v>
      </c>
      <c r="Q15" s="6" t="n">
        <f aca="false">S15*Q30</f>
        <v>79500060.7158941</v>
      </c>
      <c r="R15" s="6" t="n">
        <f aca="false">O15/C15</f>
        <v>680.788705376099</v>
      </c>
      <c r="S15" s="6" t="n">
        <f aca="false">C15/MAX(C30,C15+C16+C17+C18)</f>
        <v>0.1809362716755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132</v>
      </c>
      <c r="B16" s="5" t="s">
        <v>128</v>
      </c>
      <c r="C16" s="6" t="n">
        <v>67366.5929187767</v>
      </c>
      <c r="D16" s="6" t="n">
        <v>45431.8385259758</v>
      </c>
      <c r="E16" s="6" t="n">
        <v>95418.2283333409</v>
      </c>
      <c r="F16" s="6" t="n">
        <v>69939.6730259272</v>
      </c>
      <c r="G16" s="6" t="n">
        <v>46095.3601337274</v>
      </c>
      <c r="H16" s="6" t="n">
        <v>101154.179198033</v>
      </c>
      <c r="I16" s="6" t="n">
        <v>2274.01553948193</v>
      </c>
      <c r="J16" s="6" t="n">
        <v>981.520895545682</v>
      </c>
      <c r="K16" s="6" t="n">
        <v>4998.22486975376</v>
      </c>
      <c r="L16" s="6" t="n">
        <v>2349.1734564961</v>
      </c>
      <c r="M16" s="6" t="n">
        <v>999.900872908523</v>
      </c>
      <c r="N16" s="6" t="n">
        <v>5199.08513529711</v>
      </c>
      <c r="O16" s="6" t="n">
        <f aca="false">S16*O30</f>
        <v>45862415.5787727</v>
      </c>
      <c r="P16" s="6" t="n">
        <f aca="false">S16*P30</f>
        <v>38866685.2299345</v>
      </c>
      <c r="Q16" s="6" t="n">
        <f aca="false">S16*Q30</f>
        <v>52081287.1486644</v>
      </c>
      <c r="R16" s="6" t="n">
        <f aca="false">O16/C16</f>
        <v>680.788705376099</v>
      </c>
      <c r="S16" s="6" t="n">
        <f aca="false">C16/MAX(C30,C15+C16+C17+C18)</f>
        <v>0.118533166338281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132</v>
      </c>
      <c r="B17" s="5" t="s">
        <v>129</v>
      </c>
      <c r="C17" s="6" t="n">
        <v>285256.123517836</v>
      </c>
      <c r="D17" s="6" t="n">
        <v>218717.048117921</v>
      </c>
      <c r="E17" s="6" t="n">
        <v>369281.349724789</v>
      </c>
      <c r="F17" s="6" t="n">
        <v>283038.132362914</v>
      </c>
      <c r="G17" s="6" t="n">
        <v>207559.497214441</v>
      </c>
      <c r="H17" s="6" t="n">
        <v>377131.278207162</v>
      </c>
      <c r="I17" s="6" t="n">
        <v>9631.88093188709</v>
      </c>
      <c r="J17" s="6" t="n">
        <v>4285.67239422484</v>
      </c>
      <c r="K17" s="6" t="n">
        <v>20770.0303593934</v>
      </c>
      <c r="L17" s="6" t="n">
        <v>9502.24871028971</v>
      </c>
      <c r="M17" s="6" t="n">
        <v>4136.34129156217</v>
      </c>
      <c r="N17" s="6" t="n">
        <v>20761.5808524337</v>
      </c>
      <c r="O17" s="6" t="n">
        <f aca="false">S17*O30</f>
        <v>194199147.030312</v>
      </c>
      <c r="P17" s="6" t="n">
        <f aca="false">S17*P30</f>
        <v>164576527.954241</v>
      </c>
      <c r="Q17" s="6" t="n">
        <f aca="false">S17*Q30</f>
        <v>220532246.565589</v>
      </c>
      <c r="R17" s="6" t="n">
        <f aca="false">O17/C17</f>
        <v>680.788705376099</v>
      </c>
      <c r="S17" s="6" t="n">
        <f aca="false">C17/MAX(C30,C15+C16+C17+C18)</f>
        <v>0.501915119541817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132</v>
      </c>
      <c r="B18" s="5" t="s">
        <v>130</v>
      </c>
      <c r="C18" s="6" t="n">
        <v>112880.184271376</v>
      </c>
      <c r="D18" s="6" t="n">
        <v>89244.9119646293</v>
      </c>
      <c r="E18" s="6" t="n">
        <v>145867.751395301</v>
      </c>
      <c r="F18" s="6" t="n">
        <v>115278.871439313</v>
      </c>
      <c r="G18" s="6" t="n">
        <v>90793.9423299465</v>
      </c>
      <c r="H18" s="6" t="n">
        <v>149640.386226485</v>
      </c>
      <c r="I18" s="6" t="n">
        <v>3822.53567968225</v>
      </c>
      <c r="J18" s="6" t="n">
        <v>1757.01857596386</v>
      </c>
      <c r="K18" s="6" t="n">
        <v>8468.46826646859</v>
      </c>
      <c r="L18" s="6" t="n">
        <v>3900.33143223331</v>
      </c>
      <c r="M18" s="6" t="n">
        <v>1809.63934800689</v>
      </c>
      <c r="N18" s="6" t="n">
        <v>8612.54224452484</v>
      </c>
      <c r="O18" s="6" t="n">
        <f aca="false">S18*O30</f>
        <v>76847554.5127256</v>
      </c>
      <c r="P18" s="6" t="n">
        <f aca="false">S18*P30</f>
        <v>65125433.8491228</v>
      </c>
      <c r="Q18" s="6" t="n">
        <f aca="false">S18*Q30</f>
        <v>87267962.289853</v>
      </c>
      <c r="R18" s="6" t="n">
        <f aca="false">O18/C18</f>
        <v>680.788705376099</v>
      </c>
      <c r="S18" s="6" t="n">
        <f aca="false">C18/MAX(C30,C15+C16+C17+C18)</f>
        <v>0.198615442444402</v>
      </c>
      <c r="T18" s="5" t="s">
        <v>95</v>
      </c>
      <c r="U18" s="5" t="s">
        <v>96</v>
      </c>
    </row>
    <row r="19" customFormat="false" ht="14.25" hidden="false" customHeight="true" outlineLevel="0" collapsed="false">
      <c r="A19" s="1" t="s">
        <v>132</v>
      </c>
      <c r="B19" s="1" t="s">
        <v>110</v>
      </c>
      <c r="C19" s="12" t="n">
        <v>2974669.57922508</v>
      </c>
      <c r="D19" s="12" t="n">
        <v>2596833.24892431</v>
      </c>
      <c r="E19" s="12" t="n">
        <v>3396620.67383197</v>
      </c>
      <c r="F19" s="12" t="n">
        <v>3021100.28705667</v>
      </c>
      <c r="G19" s="12" t="n">
        <v>2618294.12997125</v>
      </c>
      <c r="H19" s="12" t="n">
        <v>3443260.51313069</v>
      </c>
      <c r="I19" s="12" t="n">
        <v>260913.988307575</v>
      </c>
      <c r="J19" s="12" t="n">
        <v>179571.995632443</v>
      </c>
      <c r="K19" s="12" t="n">
        <v>353759.436436213</v>
      </c>
      <c r="L19" s="12" t="n">
        <v>263267.692636659</v>
      </c>
      <c r="M19" s="12" t="n">
        <v>180977.068327585</v>
      </c>
      <c r="N19" s="12" t="n">
        <v>357557.780243705</v>
      </c>
      <c r="O19" s="12" t="n">
        <v>5357744730.41</v>
      </c>
      <c r="P19" s="12" t="n">
        <v>4635594260.55</v>
      </c>
      <c r="Q19" s="12" t="n">
        <v>5942214165.91</v>
      </c>
      <c r="R19" s="6" t="n">
        <f aca="false">O19/C19</f>
        <v>1801.12264159629</v>
      </c>
      <c r="S19" s="12"/>
      <c r="T19" s="1" t="s">
        <v>95</v>
      </c>
      <c r="U19" s="1" t="s">
        <v>96</v>
      </c>
    </row>
    <row r="20" s="5" customFormat="true" ht="14.25" hidden="false" customHeight="true" outlineLevel="0" collapsed="false">
      <c r="A20" s="5" t="s">
        <v>132</v>
      </c>
      <c r="B20" s="5" t="s">
        <v>5</v>
      </c>
      <c r="C20" s="6" t="n">
        <v>290297.46</v>
      </c>
      <c r="D20" s="6" t="n">
        <v>225304.23</v>
      </c>
      <c r="E20" s="6" t="n">
        <v>361838.07</v>
      </c>
      <c r="F20" s="6" t="n">
        <v>220353.13</v>
      </c>
      <c r="G20" s="6" t="n">
        <v>171740.2</v>
      </c>
      <c r="H20" s="6" t="n">
        <v>280858.92</v>
      </c>
      <c r="I20" s="6" t="n">
        <v>11239.46</v>
      </c>
      <c r="J20" s="6" t="n">
        <v>5871.27</v>
      </c>
      <c r="K20" s="6" t="n">
        <v>18469.27</v>
      </c>
      <c r="L20" s="6" t="n">
        <v>8768.98</v>
      </c>
      <c r="M20" s="6" t="n">
        <v>4411.96</v>
      </c>
      <c r="N20" s="6" t="n">
        <v>14092.42</v>
      </c>
      <c r="O20" s="6" t="n">
        <f aca="false">S20*O28</f>
        <v>59615972.8543924</v>
      </c>
      <c r="P20" s="6" t="n">
        <f aca="false">S20*P28</f>
        <v>51037513.3136058</v>
      </c>
      <c r="Q20" s="6" t="n">
        <f aca="false">S20*Q28</f>
        <v>67223387.5441602</v>
      </c>
      <c r="R20" s="6" t="n">
        <f aca="false">O20/C20</f>
        <v>205.361675759727</v>
      </c>
      <c r="S20" s="6" t="n">
        <f aca="false">C20/C28</f>
        <v>0.13983075523401</v>
      </c>
      <c r="T20" s="5" t="s">
        <v>95</v>
      </c>
      <c r="U20" s="5" t="s">
        <v>96</v>
      </c>
    </row>
    <row r="21" s="5" customFormat="true" ht="14.25" hidden="false" customHeight="true" outlineLevel="0" collapsed="false">
      <c r="A21" s="5" t="s">
        <v>132</v>
      </c>
      <c r="B21" s="5" t="s">
        <v>114</v>
      </c>
      <c r="C21" s="6" t="n">
        <v>52087.2520219381</v>
      </c>
      <c r="D21" s="6" t="n">
        <v>43533.094350248</v>
      </c>
      <c r="E21" s="6" t="n">
        <v>61583.7156368738</v>
      </c>
      <c r="F21" s="6" t="n">
        <v>53144.555790188</v>
      </c>
      <c r="G21" s="6" t="n">
        <v>44156.8596778463</v>
      </c>
      <c r="H21" s="6" t="n">
        <v>62535.0826254321</v>
      </c>
      <c r="I21" s="6" t="n">
        <v>7109.81637961173</v>
      </c>
      <c r="J21" s="6" t="n">
        <v>4610.24020304485</v>
      </c>
      <c r="K21" s="6" t="n">
        <v>10039.0198756748</v>
      </c>
      <c r="L21" s="6" t="n">
        <v>7243.38462811568</v>
      </c>
      <c r="M21" s="6" t="n">
        <v>4752.60676147972</v>
      </c>
      <c r="N21" s="6" t="n">
        <v>10282.8672952846</v>
      </c>
      <c r="O21" s="6" t="n">
        <v>538853436.49</v>
      </c>
      <c r="P21" s="6" t="n">
        <v>449241051.88</v>
      </c>
      <c r="Q21" s="6" t="n">
        <v>631979040.09</v>
      </c>
      <c r="R21" s="6" t="n">
        <f aca="false">O21/C21</f>
        <v>10345.2076193815</v>
      </c>
      <c r="S21" s="6"/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132</v>
      </c>
      <c r="B22" s="5" t="s">
        <v>106</v>
      </c>
      <c r="C22" s="6" t="n">
        <v>4558.14</v>
      </c>
      <c r="D22" s="6" t="n">
        <v>3430.9</v>
      </c>
      <c r="E22" s="6" t="n">
        <v>5842.21</v>
      </c>
      <c r="F22" s="6" t="n">
        <v>4656.89</v>
      </c>
      <c r="G22" s="6" t="n">
        <v>3582.1</v>
      </c>
      <c r="H22" s="6" t="n">
        <v>5840.78</v>
      </c>
      <c r="I22" s="6" t="n">
        <v>425.33</v>
      </c>
      <c r="J22" s="6" t="n">
        <v>274.28</v>
      </c>
      <c r="K22" s="6" t="n">
        <v>586.49</v>
      </c>
      <c r="L22" s="6" t="n">
        <v>433.23</v>
      </c>
      <c r="M22" s="6" t="n">
        <v>275.21</v>
      </c>
      <c r="N22" s="6" t="n">
        <v>625.16</v>
      </c>
      <c r="O22" s="6" t="n">
        <v>57413632.57</v>
      </c>
      <c r="P22" s="6" t="n">
        <v>47681758.28</v>
      </c>
      <c r="Q22" s="6" t="n">
        <v>66579724.79</v>
      </c>
      <c r="R22" s="6" t="n">
        <f aca="false">O22/C22</f>
        <v>12595.8466764952</v>
      </c>
      <c r="S22" s="6"/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132</v>
      </c>
      <c r="B23" s="5" t="s">
        <v>41</v>
      </c>
      <c r="C23" s="6" t="n">
        <v>198841.25873308</v>
      </c>
      <c r="D23" s="6" t="n">
        <v>181360.976707108</v>
      </c>
      <c r="E23" s="6" t="n">
        <v>219163.183570962</v>
      </c>
      <c r="F23" s="6" t="n">
        <v>203926.163531088</v>
      </c>
      <c r="G23" s="6" t="n">
        <v>183485.109624375</v>
      </c>
      <c r="H23" s="6" t="n">
        <v>228650.963011775</v>
      </c>
      <c r="I23" s="6" t="n">
        <v>26682.5941529934</v>
      </c>
      <c r="J23" s="6" t="n">
        <v>18875.6889871089</v>
      </c>
      <c r="K23" s="6" t="n">
        <v>34108.5969518122</v>
      </c>
      <c r="L23" s="6" t="n">
        <v>27167.0403221924</v>
      </c>
      <c r="M23" s="6" t="n">
        <v>19267.1188959947</v>
      </c>
      <c r="N23" s="6" t="n">
        <v>35527.5665844947</v>
      </c>
      <c r="O23" s="6" t="n">
        <v>755177401.91</v>
      </c>
      <c r="P23" s="6" t="n">
        <v>630890585.07</v>
      </c>
      <c r="Q23" s="6" t="n">
        <v>860532277.39</v>
      </c>
      <c r="R23" s="6" t="n">
        <f aca="false">O23/C23</f>
        <v>3797.89087396461</v>
      </c>
      <c r="S23" s="6"/>
      <c r="T23" s="5" t="s">
        <v>95</v>
      </c>
      <c r="U23" s="5" t="s">
        <v>96</v>
      </c>
    </row>
    <row r="24" customFormat="false" ht="14.25" hidden="false" customHeight="true" outlineLevel="0" collapsed="false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7" s="5" customFormat="true" ht="14.25" hidden="false" customHeight="true" outlineLevel="0" collapsed="false">
      <c r="B27" s="5" t="s">
        <v>107</v>
      </c>
      <c r="C27" s="6" t="n">
        <v>119347.41</v>
      </c>
      <c r="D27" s="6" t="n">
        <v>107826.1</v>
      </c>
      <c r="E27" s="6" t="n">
        <v>133261.03</v>
      </c>
      <c r="F27" s="6" t="n">
        <v>122584.01</v>
      </c>
      <c r="G27" s="6" t="n">
        <v>108235.55</v>
      </c>
      <c r="H27" s="6" t="n">
        <v>137980.94</v>
      </c>
      <c r="I27" s="6" t="n">
        <v>12115.9</v>
      </c>
      <c r="J27" s="6" t="n">
        <v>8480.97</v>
      </c>
      <c r="K27" s="6" t="n">
        <v>16592.2</v>
      </c>
      <c r="L27" s="6" t="n">
        <v>12346.96</v>
      </c>
      <c r="M27" s="6" t="n">
        <v>8609.95</v>
      </c>
      <c r="N27" s="6" t="n">
        <v>16522.8</v>
      </c>
      <c r="O27" s="6" t="n">
        <v>350924100.96</v>
      </c>
      <c r="P27" s="6" t="n">
        <v>296290312.87</v>
      </c>
      <c r="Q27" s="6" t="n">
        <v>406155193.41</v>
      </c>
      <c r="R27" s="6" t="n">
        <f aca="false">O27/C27</f>
        <v>2940.3579094008</v>
      </c>
      <c r="S27" s="6"/>
    </row>
    <row r="28" s="5" customFormat="true" ht="14.25" hidden="false" customHeight="true" outlineLevel="0" collapsed="false">
      <c r="B28" s="5" t="s">
        <v>108</v>
      </c>
      <c r="C28" s="6" t="n">
        <v>2076063.02</v>
      </c>
      <c r="D28" s="6" t="n">
        <v>1538491.37</v>
      </c>
      <c r="E28" s="6" t="n">
        <v>2749739.7</v>
      </c>
      <c r="F28" s="6" t="n">
        <v>1992658.48</v>
      </c>
      <c r="G28" s="6" t="n">
        <v>1334529.29</v>
      </c>
      <c r="H28" s="6" t="n">
        <v>2845792.77</v>
      </c>
      <c r="I28" s="6" t="n">
        <v>47123.21</v>
      </c>
      <c r="J28" s="6" t="n">
        <v>27293.99</v>
      </c>
      <c r="K28" s="6" t="n">
        <v>73872.65</v>
      </c>
      <c r="L28" s="6" t="n">
        <v>42840.45</v>
      </c>
      <c r="M28" s="6" t="n">
        <v>22636.78</v>
      </c>
      <c r="N28" s="6" t="n">
        <v>71507.59</v>
      </c>
      <c r="O28" s="6" t="n">
        <v>426343780.77</v>
      </c>
      <c r="P28" s="6" t="n">
        <v>364994905.65</v>
      </c>
      <c r="Q28" s="6" t="n">
        <v>480748226.18</v>
      </c>
      <c r="R28" s="6" t="n">
        <f aca="false">O28/C28</f>
        <v>205.361675759727</v>
      </c>
      <c r="S28" s="6"/>
    </row>
    <row r="29" s="5" customFormat="true" ht="14.25" hidden="false" customHeight="true" outlineLevel="0" collapsed="false">
      <c r="B29" s="5" t="s">
        <v>109</v>
      </c>
      <c r="C29" s="6" t="n">
        <v>6737728.47280966</v>
      </c>
      <c r="D29" s="6" t="n">
        <v>6290631.41062428</v>
      </c>
      <c r="E29" s="6" t="n">
        <v>7254782.91098419</v>
      </c>
      <c r="F29" s="6" t="n">
        <v>6925067.01106855</v>
      </c>
      <c r="G29" s="6" t="n">
        <v>6475965.02380337</v>
      </c>
      <c r="H29" s="6" t="n">
        <v>7465842.59513449</v>
      </c>
      <c r="I29" s="6" t="n">
        <v>261716.126503057</v>
      </c>
      <c r="J29" s="6" t="n">
        <v>186385.425732952</v>
      </c>
      <c r="K29" s="6" t="n">
        <v>357969.583414313</v>
      </c>
      <c r="L29" s="6" t="n">
        <v>271720.926339652</v>
      </c>
      <c r="M29" s="6" t="n">
        <v>195475.863072104</v>
      </c>
      <c r="N29" s="6" t="n">
        <v>369560.587774291</v>
      </c>
      <c r="O29" s="6" t="n">
        <f aca="false">O6+O8</f>
        <v>2636101667.32</v>
      </c>
      <c r="P29" s="6" t="n">
        <f aca="false">P6+P8</f>
        <v>2266836956.36</v>
      </c>
      <c r="Q29" s="6" t="n">
        <f aca="false">Q6+Q8</f>
        <v>2986638567.7</v>
      </c>
      <c r="R29" s="6" t="n">
        <f aca="false">O29/C29</f>
        <v>391.244865084439</v>
      </c>
      <c r="S29" s="6"/>
    </row>
    <row r="30" s="5" customFormat="true" ht="14.25" hidden="false" customHeight="true" outlineLevel="0" collapsed="false">
      <c r="B30" s="5" t="s">
        <v>131</v>
      </c>
      <c r="C30" s="6" t="n">
        <v>563515.752803634</v>
      </c>
      <c r="D30" s="6" t="n">
        <v>471723.511683045</v>
      </c>
      <c r="E30" s="6" t="n">
        <v>667584.043900999</v>
      </c>
      <c r="F30" s="6" t="n">
        <v>566203.32117734</v>
      </c>
      <c r="G30" s="6" t="n">
        <v>463136.309794889</v>
      </c>
      <c r="H30" s="6" t="n">
        <v>677674.699613364</v>
      </c>
      <c r="I30" s="6" t="n">
        <v>19200.3386967376</v>
      </c>
      <c r="J30" s="6" t="n">
        <v>8946.96738961315</v>
      </c>
      <c r="K30" s="6" t="n">
        <v>40446.6116089984</v>
      </c>
      <c r="L30" s="6" t="n">
        <v>19235.3563044373</v>
      </c>
      <c r="M30" s="6" t="n">
        <v>8886.7160178512</v>
      </c>
      <c r="N30" s="6" t="n">
        <v>40692.7771318073</v>
      </c>
      <c r="O30" s="6" t="n">
        <v>386916312.08</v>
      </c>
      <c r="P30" s="6" t="n">
        <v>327897131.5</v>
      </c>
      <c r="Q30" s="6" t="n">
        <v>439381556.72</v>
      </c>
      <c r="R30" s="6" t="n">
        <f aca="false">O30/C30</f>
        <v>686.611350534556</v>
      </c>
      <c r="S30" s="6"/>
      <c r="T30" s="5" t="s">
        <v>95</v>
      </c>
      <c r="U30" s="5" t="s">
        <v>96</v>
      </c>
    </row>
    <row r="32" customFormat="false" ht="14.25" hidden="false" customHeight="true" outlineLevel="0" collapsed="false">
      <c r="D32" s="1" t="s">
        <v>125</v>
      </c>
      <c r="E32" s="1" t="n">
        <f aca="false">C6/C29</f>
        <v>0.311857218507541</v>
      </c>
    </row>
  </sheetData>
  <autoFilter ref="A1:U2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9.33"/>
    <col collapsed="false" customWidth="true" hidden="false" outlineLevel="0" max="3" min="3" style="1" width="17"/>
    <col collapsed="false" customWidth="true" hidden="false" outlineLevel="0" max="4" min="4" style="1" width="15.56"/>
    <col collapsed="false" customWidth="true" hidden="false" outlineLevel="0" max="5" min="5" style="1" width="0.33"/>
    <col collapsed="false" customWidth="true" hidden="true" outlineLevel="0" max="6" min="6" style="1" width="19.21"/>
    <col collapsed="false" customWidth="true" hidden="true" outlineLevel="0" max="7" min="7" style="1" width="20.11"/>
    <col collapsed="false" customWidth="true" hidden="true" outlineLevel="0" max="8" min="8" style="1" width="15"/>
    <col collapsed="false" customWidth="true" hidden="true" outlineLevel="0" max="11" min="9" style="1" width="11.67"/>
    <col collapsed="false" customWidth="true" hidden="true" outlineLevel="0" max="12" min="12" style="1" width="17.33"/>
    <col collapsed="false" customWidth="true" hidden="true" outlineLevel="0" max="13" min="13" style="1" width="14.33"/>
    <col collapsed="false" customWidth="true" hidden="true" outlineLevel="0" max="14" min="14" style="1" width="12"/>
    <col collapsed="false" customWidth="true" hidden="false" outlineLevel="0" max="15" min="15" style="1" width="15.56"/>
    <col collapsed="false" customWidth="true" hidden="false" outlineLevel="0" max="17" min="16" style="1" width="18.22"/>
    <col collapsed="false" customWidth="true" hidden="false" outlineLevel="0" max="18" min="18" style="1" width="14.33"/>
    <col collapsed="false" customWidth="true" hidden="false" outlineLevel="0" max="19" min="19" style="1" width="12.76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133</v>
      </c>
      <c r="B2" s="5" t="s">
        <v>19</v>
      </c>
      <c r="C2" s="6" t="n">
        <v>4875.16331814665</v>
      </c>
      <c r="D2" s="6" t="n">
        <v>2344.93280670606</v>
      </c>
      <c r="E2" s="6" t="n">
        <v>7709.43356249282</v>
      </c>
      <c r="F2" s="6" t="n">
        <v>5062.25482203032</v>
      </c>
      <c r="G2" s="6" t="n">
        <v>2431.02848113137</v>
      </c>
      <c r="H2" s="6" t="n">
        <v>7979.58704316404</v>
      </c>
      <c r="I2" s="6" t="n">
        <v>916.501271241232</v>
      </c>
      <c r="J2" s="6" t="n">
        <v>397.597908724284</v>
      </c>
      <c r="K2" s="6" t="n">
        <v>1763.46522323776</v>
      </c>
      <c r="L2" s="6" t="n">
        <v>952.499362382905</v>
      </c>
      <c r="M2" s="6" t="n">
        <v>408.325764880223</v>
      </c>
      <c r="N2" s="6" t="n">
        <v>1828.37535657158</v>
      </c>
      <c r="O2" s="6" t="n">
        <v>98904279.05</v>
      </c>
      <c r="P2" s="6" t="n">
        <v>85957441.75</v>
      </c>
      <c r="Q2" s="6" t="n">
        <v>114271053.13</v>
      </c>
      <c r="R2" s="6" t="n">
        <f aca="false">O2/C2</f>
        <v>20287.3775903778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133</v>
      </c>
      <c r="B3" s="5" t="s">
        <v>94</v>
      </c>
      <c r="C3" s="6" t="n">
        <v>4832.2473363891</v>
      </c>
      <c r="D3" s="6" t="n">
        <v>3128.66442340877</v>
      </c>
      <c r="E3" s="6" t="n">
        <v>7208.89980501244</v>
      </c>
      <c r="F3" s="6" t="n">
        <v>5567.88931302925</v>
      </c>
      <c r="G3" s="6" t="n">
        <v>3454.30807979043</v>
      </c>
      <c r="H3" s="6" t="n">
        <v>8961.04524819498</v>
      </c>
      <c r="I3" s="6" t="n">
        <v>473.547393829168</v>
      </c>
      <c r="J3" s="6" t="n">
        <v>297.497387274593</v>
      </c>
      <c r="K3" s="6" t="n">
        <v>748.322037198291</v>
      </c>
      <c r="L3" s="6" t="n">
        <v>539.73441879488</v>
      </c>
      <c r="M3" s="6" t="n">
        <v>329.896061621412</v>
      </c>
      <c r="N3" s="6" t="n">
        <v>850.027106625143</v>
      </c>
      <c r="O3" s="6" t="n">
        <v>354785409.02</v>
      </c>
      <c r="P3" s="6" t="n">
        <v>308550452.43</v>
      </c>
      <c r="Q3" s="6" t="n">
        <v>408264815.91</v>
      </c>
      <c r="R3" s="6" t="n">
        <f aca="false">O3/C3</f>
        <v>73420.3744804821</v>
      </c>
      <c r="S3" s="6"/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133</v>
      </c>
      <c r="B4" s="5" t="s">
        <v>97</v>
      </c>
      <c r="C4" s="6" t="n">
        <v>31480.5287852482</v>
      </c>
      <c r="D4" s="6" t="n">
        <v>25696.2032698875</v>
      </c>
      <c r="E4" s="6" t="n">
        <v>38231.9652161459</v>
      </c>
      <c r="F4" s="6" t="n">
        <v>33567.2312436551</v>
      </c>
      <c r="G4" s="6" t="n">
        <v>26721.8991948565</v>
      </c>
      <c r="H4" s="6" t="n">
        <v>42194.418717456</v>
      </c>
      <c r="I4" s="6" t="n">
        <v>4613.29617134886</v>
      </c>
      <c r="J4" s="6" t="n">
        <v>2954.29043325205</v>
      </c>
      <c r="K4" s="6" t="n">
        <v>6429.53524836708</v>
      </c>
      <c r="L4" s="6" t="n">
        <v>4919.87027889774</v>
      </c>
      <c r="M4" s="6" t="n">
        <v>3153.8099897308</v>
      </c>
      <c r="N4" s="6" t="n">
        <v>6997.52881087945</v>
      </c>
      <c r="O4" s="6" t="n">
        <f aca="false">S4*O30</f>
        <v>59965447.6716963</v>
      </c>
      <c r="P4" s="6" t="n">
        <f aca="false">S4*P30</f>
        <v>52519667.4926272</v>
      </c>
      <c r="Q4" s="6" t="n">
        <f aca="false">S4*Q30</f>
        <v>68875084.059155</v>
      </c>
      <c r="R4" s="6" t="n">
        <f aca="false">O4/C4</f>
        <v>1904.84245295766</v>
      </c>
      <c r="S4" s="6" t="n">
        <f aca="false">C4/C30</f>
        <v>0.30622942468306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133</v>
      </c>
      <c r="B5" s="5" t="s">
        <v>119</v>
      </c>
      <c r="C5" s="6" t="n">
        <v>95444.9642732029</v>
      </c>
      <c r="D5" s="6" t="n">
        <v>78762.3957083156</v>
      </c>
      <c r="E5" s="6" t="n">
        <v>115574.017902518</v>
      </c>
      <c r="F5" s="6" t="n">
        <v>104120.571635898</v>
      </c>
      <c r="G5" s="6" t="n">
        <v>85665.0929992809</v>
      </c>
      <c r="H5" s="6" t="n">
        <v>131025.658115706</v>
      </c>
      <c r="I5" s="6" t="n">
        <v>6156.27537949001</v>
      </c>
      <c r="J5" s="6" t="n">
        <v>3870.75247289389</v>
      </c>
      <c r="K5" s="6" t="n">
        <v>8890.18178329916</v>
      </c>
      <c r="L5" s="6" t="n">
        <v>6675.81326632606</v>
      </c>
      <c r="M5" s="6" t="n">
        <v>4272.39119423062</v>
      </c>
      <c r="N5" s="6" t="n">
        <v>10037.5934028602</v>
      </c>
      <c r="O5" s="6" t="n">
        <v>859800824.44</v>
      </c>
      <c r="P5" s="6" t="n">
        <v>746035437.43</v>
      </c>
      <c r="Q5" s="6" t="n">
        <v>981125098.54</v>
      </c>
      <c r="R5" s="6" t="n">
        <f aca="false">O5/C5</f>
        <v>9008.34141420908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133</v>
      </c>
      <c r="B6" s="5" t="s">
        <v>122</v>
      </c>
      <c r="C6" s="6" t="n">
        <v>1400099.86691342</v>
      </c>
      <c r="D6" s="6" t="n">
        <v>1269134.63559014</v>
      </c>
      <c r="E6" s="6" t="n">
        <v>1548113.7986381</v>
      </c>
      <c r="F6" s="6" t="n">
        <v>1677632.70402816</v>
      </c>
      <c r="G6" s="6" t="n">
        <v>1504663.18297215</v>
      </c>
      <c r="H6" s="6" t="n">
        <v>1868072.39224866</v>
      </c>
      <c r="I6" s="6" t="n">
        <v>89661.3871668165</v>
      </c>
      <c r="J6" s="6" t="n">
        <v>61249.6771537208</v>
      </c>
      <c r="K6" s="6" t="n">
        <v>124809.045737579</v>
      </c>
      <c r="L6" s="6" t="n">
        <v>107060.413406859</v>
      </c>
      <c r="M6" s="6" t="n">
        <v>73587.7436371166</v>
      </c>
      <c r="N6" s="6" t="n">
        <v>147687.906831657</v>
      </c>
      <c r="O6" s="6" t="n">
        <v>11548562871.06</v>
      </c>
      <c r="P6" s="6" t="n">
        <v>10019151153.75</v>
      </c>
      <c r="Q6" s="6" t="n">
        <v>13229429111.34</v>
      </c>
      <c r="R6" s="6" t="n">
        <f aca="false">O6/C6</f>
        <v>8248.38509307147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133</v>
      </c>
      <c r="B7" s="5" t="s">
        <v>26</v>
      </c>
      <c r="C7" s="6" t="n">
        <v>2447702.34338586</v>
      </c>
      <c r="D7" s="6" t="n">
        <v>2126415.46810216</v>
      </c>
      <c r="E7" s="6" t="n">
        <v>2859043.46826271</v>
      </c>
      <c r="F7" s="6" t="n">
        <v>2823367.2176439</v>
      </c>
      <c r="G7" s="6" t="n">
        <v>2437110.47026299</v>
      </c>
      <c r="H7" s="6" t="n">
        <v>3330272.86901611</v>
      </c>
      <c r="I7" s="6" t="n">
        <v>106196.98626761</v>
      </c>
      <c r="J7" s="6" t="n">
        <v>75286.8813646112</v>
      </c>
      <c r="K7" s="6" t="n">
        <v>152390.741054564</v>
      </c>
      <c r="L7" s="6" t="n">
        <v>120426.108097526</v>
      </c>
      <c r="M7" s="6" t="n">
        <v>85348.9423312462</v>
      </c>
      <c r="N7" s="6" t="n">
        <v>170252.856899428</v>
      </c>
      <c r="O7" s="6" t="n">
        <v>953618043.44</v>
      </c>
      <c r="P7" s="6" t="n">
        <v>843181160.25</v>
      </c>
      <c r="Q7" s="6" t="n">
        <v>1072065422.83</v>
      </c>
      <c r="R7" s="6" t="n">
        <f aca="false">O7/C7</f>
        <v>389.597226156543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133</v>
      </c>
      <c r="B8" s="5" t="s">
        <v>9</v>
      </c>
      <c r="C8" s="6" t="n">
        <v>437042.377402564</v>
      </c>
      <c r="D8" s="14"/>
      <c r="E8" s="14"/>
      <c r="F8" s="6" t="n">
        <v>401650.924396225</v>
      </c>
      <c r="G8" s="14"/>
      <c r="H8" s="14"/>
      <c r="I8" s="6" t="n">
        <v>14101.6924203833</v>
      </c>
      <c r="J8" s="14"/>
      <c r="K8" s="14"/>
      <c r="L8" s="6" t="n">
        <v>12958.9327060425</v>
      </c>
      <c r="M8" s="14"/>
      <c r="N8" s="14"/>
      <c r="O8" s="6" t="n">
        <v>79461056.47</v>
      </c>
      <c r="P8" s="6" t="n">
        <v>67661766.91</v>
      </c>
      <c r="Q8" s="6" t="n">
        <v>91856795.82</v>
      </c>
      <c r="R8" s="6" t="n">
        <f aca="false">O8/C8</f>
        <v>181.815449893564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133</v>
      </c>
      <c r="B9" s="5" t="s">
        <v>22</v>
      </c>
      <c r="C9" s="6" t="n">
        <v>5626760.02104369</v>
      </c>
      <c r="D9" s="7" t="n">
        <v>5293180.27164232</v>
      </c>
      <c r="E9" s="7" t="n">
        <v>5960339.77044506</v>
      </c>
      <c r="F9" s="6" t="n">
        <v>5908795.00030038</v>
      </c>
      <c r="G9" s="7" t="n">
        <v>5567359.47082676</v>
      </c>
      <c r="H9" s="7" t="n">
        <v>6250230.52977399</v>
      </c>
      <c r="I9" s="6" t="n">
        <f aca="false">I32-I7</f>
        <v>181294.720328282</v>
      </c>
      <c r="J9" s="6" t="n">
        <f aca="false">J32-J7</f>
        <v>129014.438943793</v>
      </c>
      <c r="K9" s="6" t="n">
        <f aca="false">K32-K7</f>
        <v>248290.556174188</v>
      </c>
      <c r="L9" s="6" t="n">
        <f aca="false">L32-L7</f>
        <v>190981.597748996</v>
      </c>
      <c r="M9" s="6" t="n">
        <f aca="false">M32-M7</f>
        <v>135391.691748024</v>
      </c>
      <c r="N9" s="6" t="n">
        <f aca="false">N32-N7</f>
        <v>259812.79470763</v>
      </c>
      <c r="O9" s="6" t="n">
        <v>1561686696.42</v>
      </c>
      <c r="P9" s="5" t="n">
        <v>1367905461.84</v>
      </c>
      <c r="Q9" s="5" t="n">
        <v>1783943092.47</v>
      </c>
      <c r="R9" s="6" t="n">
        <f aca="false">O9/C9</f>
        <v>277.546348267813</v>
      </c>
    </row>
    <row r="10" s="5" customFormat="true" ht="14.25" hidden="false" customHeight="true" outlineLevel="0" collapsed="false">
      <c r="A10" s="5" t="s">
        <v>133</v>
      </c>
      <c r="B10" s="5" t="s">
        <v>120</v>
      </c>
      <c r="C10" s="6" t="n">
        <v>3211390.81267961</v>
      </c>
      <c r="D10" s="6" t="n">
        <v>2659511.21177455</v>
      </c>
      <c r="E10" s="6" t="n">
        <v>3860138.7844056</v>
      </c>
      <c r="F10" s="6" t="n">
        <v>3447167.1357698</v>
      </c>
      <c r="G10" s="6" t="n">
        <v>2832887.92625656</v>
      </c>
      <c r="H10" s="6" t="n">
        <v>4139161.02509324</v>
      </c>
      <c r="I10" s="6" t="n">
        <v>363083.408806928</v>
      </c>
      <c r="J10" s="6" t="n">
        <v>240336.881731154</v>
      </c>
      <c r="K10" s="6" t="n">
        <v>510702.484160296</v>
      </c>
      <c r="L10" s="6" t="n">
        <v>387546.385060126</v>
      </c>
      <c r="M10" s="6" t="n">
        <v>256994.941423801</v>
      </c>
      <c r="N10" s="6" t="n">
        <v>542870.08108449</v>
      </c>
      <c r="O10" s="6" t="n">
        <v>2673960791.44</v>
      </c>
      <c r="P10" s="6" t="n">
        <v>2303286187.4</v>
      </c>
      <c r="Q10" s="6" t="n">
        <v>3061842139.36</v>
      </c>
      <c r="R10" s="6" t="n">
        <f aca="false">O10/C10</f>
        <v>832.648826446889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133</v>
      </c>
      <c r="B11" s="5" t="s">
        <v>134</v>
      </c>
      <c r="C11" s="6" t="n">
        <v>77007.8872894926</v>
      </c>
      <c r="D11" s="6" t="n">
        <v>56105.9223067625</v>
      </c>
      <c r="E11" s="6" t="n">
        <v>102375.22128564</v>
      </c>
      <c r="F11" s="6" t="n">
        <v>76649.161527072</v>
      </c>
      <c r="G11" s="6" t="n">
        <v>51372.9462947686</v>
      </c>
      <c r="H11" s="6" t="n">
        <v>109192.716685736</v>
      </c>
      <c r="I11" s="6" t="n">
        <v>4.60220827078707</v>
      </c>
      <c r="J11" s="6" t="n">
        <v>1.48702347481033</v>
      </c>
      <c r="K11" s="6" t="n">
        <v>10.5602961111848</v>
      </c>
      <c r="L11" s="6" t="n">
        <v>4.51913898520577</v>
      </c>
      <c r="M11" s="6" t="n">
        <v>1.4321741153312</v>
      </c>
      <c r="N11" s="6" t="n">
        <v>10.9713491978639</v>
      </c>
      <c r="O11" s="6" t="n">
        <v>125941829.16</v>
      </c>
      <c r="P11" s="6" t="n">
        <v>103297186.08</v>
      </c>
      <c r="Q11" s="6" t="n">
        <v>151229354.94</v>
      </c>
      <c r="R11" s="6" t="n">
        <f aca="false">O11/C11</f>
        <v>1635.44064891109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133</v>
      </c>
      <c r="B12" s="5" t="s">
        <v>98</v>
      </c>
      <c r="C12" s="6" t="n">
        <v>1214.92961054785</v>
      </c>
      <c r="D12" s="6" t="n">
        <v>703.19410798598</v>
      </c>
      <c r="E12" s="6" t="n">
        <v>2350.77472904374</v>
      </c>
      <c r="F12" s="6" t="n">
        <v>1438.61474283672</v>
      </c>
      <c r="G12" s="6" t="n">
        <v>802.600206017385</v>
      </c>
      <c r="H12" s="6" t="n">
        <v>2745.5691203123</v>
      </c>
      <c r="I12" s="6" t="n">
        <v>123.425993852116</v>
      </c>
      <c r="J12" s="6" t="n">
        <v>62.8776974728011</v>
      </c>
      <c r="K12" s="6" t="n">
        <v>237.899895843891</v>
      </c>
      <c r="L12" s="6" t="n">
        <v>146.228638955154</v>
      </c>
      <c r="M12" s="6" t="n">
        <v>72.9100470446152</v>
      </c>
      <c r="N12" s="6" t="n">
        <v>291.833074708571</v>
      </c>
      <c r="O12" s="6" t="n">
        <v>145922505.3</v>
      </c>
      <c r="P12" s="6" t="n">
        <v>121331800.11</v>
      </c>
      <c r="Q12" s="6" t="n">
        <v>171325130.91</v>
      </c>
      <c r="R12" s="6" t="n">
        <f aca="false">O12/C12</f>
        <v>120107.785696489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133</v>
      </c>
      <c r="B13" s="5" t="s">
        <v>44</v>
      </c>
      <c r="C13" s="6" t="n">
        <v>1258.04219553245</v>
      </c>
      <c r="D13" s="6" t="n">
        <v>1032.84850863139</v>
      </c>
      <c r="E13" s="6" t="n">
        <v>1577.00208158879</v>
      </c>
      <c r="F13" s="6" t="n">
        <v>1394.21955153753</v>
      </c>
      <c r="G13" s="6" t="n">
        <v>1120.80769875934</v>
      </c>
      <c r="H13" s="6" t="n">
        <v>1763.13386146228</v>
      </c>
      <c r="I13" s="6" t="n">
        <v>267.301765137783</v>
      </c>
      <c r="J13" s="6" t="n">
        <v>181.771115585535</v>
      </c>
      <c r="K13" s="6" t="n">
        <v>387.703669628164</v>
      </c>
      <c r="L13" s="6" t="n">
        <v>296.251872305353</v>
      </c>
      <c r="M13" s="6" t="n">
        <v>195.741070697839</v>
      </c>
      <c r="N13" s="6" t="n">
        <v>434.685053893262</v>
      </c>
      <c r="O13" s="6" t="n">
        <v>142114023</v>
      </c>
      <c r="P13" s="6" t="n">
        <v>118828654.5</v>
      </c>
      <c r="Q13" s="6" t="n">
        <v>169804949.52</v>
      </c>
      <c r="R13" s="6" t="n">
        <f aca="false">O13/C13</f>
        <v>112964.432754859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133</v>
      </c>
      <c r="B14" s="5" t="s">
        <v>12</v>
      </c>
      <c r="C14" s="6" t="n">
        <v>43914.0549082463</v>
      </c>
      <c r="D14" s="6" t="n">
        <v>40584.1290273802</v>
      </c>
      <c r="E14" s="6" t="n">
        <v>47635.162816171</v>
      </c>
      <c r="F14" s="6" t="n">
        <v>48087.497135457</v>
      </c>
      <c r="G14" s="6" t="n">
        <v>44400.5253387597</v>
      </c>
      <c r="H14" s="6" t="n">
        <v>52283.7573799741</v>
      </c>
      <c r="I14" s="6" t="n">
        <v>11142.4458466189</v>
      </c>
      <c r="J14" s="6" t="n">
        <v>8057.87444389011</v>
      </c>
      <c r="K14" s="6" t="n">
        <v>14154.8986890256</v>
      </c>
      <c r="L14" s="6" t="n">
        <v>12083.9334040379</v>
      </c>
      <c r="M14" s="6" t="n">
        <v>8663.38186112076</v>
      </c>
      <c r="N14" s="6" t="n">
        <v>15491.458959438</v>
      </c>
      <c r="O14" s="6" t="n">
        <v>2028943831.23</v>
      </c>
      <c r="P14" s="6" t="n">
        <v>1745864127.2</v>
      </c>
      <c r="Q14" s="6" t="n">
        <v>2316932110.71</v>
      </c>
      <c r="R14" s="6" t="n">
        <f aca="false">O14/C14</f>
        <v>46202.6072397382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133</v>
      </c>
      <c r="B15" s="5" t="s">
        <v>113</v>
      </c>
      <c r="C15" s="6" t="n">
        <v>794565.848371842</v>
      </c>
      <c r="D15" s="6" t="n">
        <v>471723.513058629</v>
      </c>
      <c r="E15" s="6" t="n">
        <v>1260694.44274124</v>
      </c>
      <c r="F15" s="6" t="n">
        <v>854025.198788576</v>
      </c>
      <c r="G15" s="6" t="n">
        <v>494566.184298118</v>
      </c>
      <c r="H15" s="6" t="n">
        <v>1289765.91287725</v>
      </c>
      <c r="I15" s="6" t="n">
        <v>79336.6924898836</v>
      </c>
      <c r="J15" s="6" t="n">
        <v>44561.954309972</v>
      </c>
      <c r="K15" s="6" t="n">
        <v>135213.090048736</v>
      </c>
      <c r="L15" s="6" t="n">
        <v>85020.4065797774</v>
      </c>
      <c r="M15" s="6" t="n">
        <v>47581.4305509058</v>
      </c>
      <c r="N15" s="6" t="n">
        <v>145407.093916067</v>
      </c>
      <c r="O15" s="6" t="n">
        <v>1711069306.36</v>
      </c>
      <c r="P15" s="6" t="n">
        <v>1451636721.72</v>
      </c>
      <c r="Q15" s="6" t="n">
        <v>1987349009.08</v>
      </c>
      <c r="R15" s="6" t="n">
        <f aca="false">O15/C15</f>
        <v>2153.46444837288</v>
      </c>
      <c r="S15" s="6"/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133</v>
      </c>
      <c r="B16" s="5" t="s">
        <v>100</v>
      </c>
      <c r="C16" s="6" t="n">
        <v>31958.68</v>
      </c>
      <c r="D16" s="6" t="n">
        <v>27310.64</v>
      </c>
      <c r="E16" s="6" t="n">
        <v>36832.24</v>
      </c>
      <c r="F16" s="6" t="n">
        <v>34907.75</v>
      </c>
      <c r="G16" s="6" t="n">
        <v>29878.39</v>
      </c>
      <c r="H16" s="6" t="n">
        <v>39958.31</v>
      </c>
      <c r="I16" s="6" t="n">
        <v>6762.69</v>
      </c>
      <c r="J16" s="6" t="n">
        <v>4894.26</v>
      </c>
      <c r="K16" s="6" t="n">
        <v>8892.22</v>
      </c>
      <c r="L16" s="6" t="n">
        <v>7348.68</v>
      </c>
      <c r="M16" s="6" t="n">
        <v>5221.04</v>
      </c>
      <c r="N16" s="6" t="n">
        <v>10025.25</v>
      </c>
      <c r="O16" s="6" t="n">
        <v>343690.21</v>
      </c>
      <c r="P16" s="6" t="n">
        <v>271535.35</v>
      </c>
      <c r="Q16" s="6" t="n">
        <v>429632.22</v>
      </c>
      <c r="R16" s="6" t="n">
        <f aca="false">O16/C16</f>
        <v>10.7542054302618</v>
      </c>
      <c r="S16" s="6"/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133</v>
      </c>
      <c r="B17" s="5" t="s">
        <v>101</v>
      </c>
      <c r="C17" s="6" t="n">
        <v>269121.57</v>
      </c>
      <c r="D17" s="6" t="n">
        <v>224549.3</v>
      </c>
      <c r="E17" s="6" t="n">
        <v>314182.65</v>
      </c>
      <c r="F17" s="6" t="n">
        <v>291778.71</v>
      </c>
      <c r="G17" s="6" t="n">
        <v>244681.9</v>
      </c>
      <c r="H17" s="6" t="n">
        <v>345093.22</v>
      </c>
      <c r="I17" s="6" t="n">
        <v>30012.59</v>
      </c>
      <c r="J17" s="6" t="n">
        <v>22790.96</v>
      </c>
      <c r="K17" s="6" t="n">
        <v>37501.89</v>
      </c>
      <c r="L17" s="6" t="n">
        <v>32283.73</v>
      </c>
      <c r="M17" s="6" t="n">
        <v>24423.37</v>
      </c>
      <c r="N17" s="6" t="n">
        <v>40941.71</v>
      </c>
      <c r="O17" s="6" t="n">
        <v>31997960.52</v>
      </c>
      <c r="P17" s="6" t="n">
        <v>25872833.75</v>
      </c>
      <c r="Q17" s="6" t="n">
        <v>38386414.8</v>
      </c>
      <c r="R17" s="6" t="n">
        <f aca="false">O17/C17</f>
        <v>118.897792250543</v>
      </c>
      <c r="S17" s="6"/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133</v>
      </c>
      <c r="B18" s="5" t="s">
        <v>64</v>
      </c>
      <c r="C18" s="6" t="n">
        <v>310609.555914522</v>
      </c>
      <c r="D18" s="6" t="n">
        <v>191843.140344396</v>
      </c>
      <c r="E18" s="6" t="n">
        <v>451319.589078192</v>
      </c>
      <c r="F18" s="6" t="n">
        <v>323660.16329692</v>
      </c>
      <c r="G18" s="6" t="n">
        <v>200250.805147936</v>
      </c>
      <c r="H18" s="6" t="n">
        <v>467287.05105133</v>
      </c>
      <c r="I18" s="6" t="n">
        <v>10421.2131123086</v>
      </c>
      <c r="J18" s="6" t="n">
        <v>3563.13811854513</v>
      </c>
      <c r="K18" s="6" t="n">
        <v>25146.8653330113</v>
      </c>
      <c r="L18" s="6" t="n">
        <v>10825.0890350452</v>
      </c>
      <c r="M18" s="6" t="n">
        <v>3688.46245526429</v>
      </c>
      <c r="N18" s="6" t="n">
        <v>26328.7048071074</v>
      </c>
      <c r="O18" s="6" t="n">
        <f aca="false">S18*O33</f>
        <v>181361173.841173</v>
      </c>
      <c r="P18" s="6" t="n">
        <f aca="false">S18*P33</f>
        <v>154757862.907878</v>
      </c>
      <c r="Q18" s="6" t="n">
        <f aca="false">S18*Q33</f>
        <v>209128645.680058</v>
      </c>
      <c r="R18" s="6" t="n">
        <f aca="false">O18/C18</f>
        <v>583.887940302397</v>
      </c>
      <c r="S18" s="6" t="n">
        <f aca="false">C18/MAX(C33,C18+C19+C20+C21)</f>
        <v>0.234668203553405</v>
      </c>
      <c r="T18" s="5" t="s">
        <v>95</v>
      </c>
      <c r="U18" s="5" t="s">
        <v>96</v>
      </c>
    </row>
    <row r="19" s="5" customFormat="true" ht="14.25" hidden="false" customHeight="true" outlineLevel="0" collapsed="false">
      <c r="A19" s="5" t="s">
        <v>133</v>
      </c>
      <c r="B19" s="5" t="s">
        <v>128</v>
      </c>
      <c r="C19" s="6" t="n">
        <v>115846.860748341</v>
      </c>
      <c r="D19" s="6" t="n">
        <v>75685.2558707093</v>
      </c>
      <c r="E19" s="6" t="n">
        <v>169655.897914423</v>
      </c>
      <c r="F19" s="6" t="n">
        <v>127843.375442621</v>
      </c>
      <c r="G19" s="6" t="n">
        <v>80620.017718184</v>
      </c>
      <c r="H19" s="6" t="n">
        <v>191993.481071959</v>
      </c>
      <c r="I19" s="6" t="n">
        <v>3861.19823775195</v>
      </c>
      <c r="J19" s="6" t="n">
        <v>1589.72335071877</v>
      </c>
      <c r="K19" s="6" t="n">
        <v>8747.16627596771</v>
      </c>
      <c r="L19" s="6" t="n">
        <v>4267.12469021471</v>
      </c>
      <c r="M19" s="6" t="n">
        <v>1779.80468974961</v>
      </c>
      <c r="N19" s="6" t="n">
        <v>9774.27339585773</v>
      </c>
      <c r="O19" s="6" t="n">
        <f aca="false">S19*O33</f>
        <v>67641584.9128474</v>
      </c>
      <c r="P19" s="6" t="n">
        <f aca="false">S19*P33</f>
        <v>57719449.5552917</v>
      </c>
      <c r="Q19" s="6" t="n">
        <f aca="false">S19*Q33</f>
        <v>77997912.9207923</v>
      </c>
      <c r="R19" s="6" t="n">
        <f aca="false">O19/C19</f>
        <v>583.887940302397</v>
      </c>
      <c r="S19" s="6" t="n">
        <f aca="false">C19/MAX(C33,C18+C19+C20+C21)</f>
        <v>0.0875233043589809</v>
      </c>
      <c r="T19" s="5" t="s">
        <v>95</v>
      </c>
      <c r="U19" s="5" t="s">
        <v>96</v>
      </c>
    </row>
    <row r="20" s="5" customFormat="true" ht="14.25" hidden="false" customHeight="true" outlineLevel="0" collapsed="false">
      <c r="A20" s="5" t="s">
        <v>133</v>
      </c>
      <c r="B20" s="5" t="s">
        <v>129</v>
      </c>
      <c r="C20" s="6" t="n">
        <v>733788.198183789</v>
      </c>
      <c r="D20" s="6" t="n">
        <v>582499.419178125</v>
      </c>
      <c r="E20" s="6" t="n">
        <v>913630.330757902</v>
      </c>
      <c r="F20" s="6" t="n">
        <v>782014.816519716</v>
      </c>
      <c r="G20" s="6" t="n">
        <v>606469.384264156</v>
      </c>
      <c r="H20" s="6" t="n">
        <v>1006282.48351272</v>
      </c>
      <c r="I20" s="6" t="n">
        <v>24606.3973311706</v>
      </c>
      <c r="J20" s="6" t="n">
        <v>11572.6286254736</v>
      </c>
      <c r="K20" s="6" t="n">
        <v>52542.0352931634</v>
      </c>
      <c r="L20" s="6" t="n">
        <v>26106.394569271</v>
      </c>
      <c r="M20" s="6" t="n">
        <v>11839.7834332437</v>
      </c>
      <c r="N20" s="6" t="n">
        <v>56081.392047212</v>
      </c>
      <c r="O20" s="6" t="n">
        <f aca="false">S20*O33</f>
        <v>428450079.65574</v>
      </c>
      <c r="P20" s="6" t="n">
        <f aca="false">S20*P33</f>
        <v>365602059.613377</v>
      </c>
      <c r="Q20" s="6" t="n">
        <f aca="false">S20*Q33</f>
        <v>494048329.100397</v>
      </c>
      <c r="R20" s="6" t="n">
        <f aca="false">O20/C20</f>
        <v>583.887940302397</v>
      </c>
      <c r="S20" s="6" t="n">
        <f aca="false">C20/MAX(C33,C18+C19+C20+C21)</f>
        <v>0.554383324587306</v>
      </c>
      <c r="T20" s="5" t="s">
        <v>95</v>
      </c>
      <c r="U20" s="5" t="s">
        <v>96</v>
      </c>
    </row>
    <row r="21" customFormat="false" ht="14.25" hidden="false" customHeight="true" outlineLevel="0" collapsed="false">
      <c r="A21" s="5" t="s">
        <v>133</v>
      </c>
      <c r="B21" s="5" t="s">
        <v>130</v>
      </c>
      <c r="C21" s="6" t="n">
        <v>163366.983193451</v>
      </c>
      <c r="D21" s="6" t="n">
        <v>131699.063544316</v>
      </c>
      <c r="E21" s="6" t="n">
        <v>198430.021630867</v>
      </c>
      <c r="F21" s="6" t="n">
        <v>177430.964191238</v>
      </c>
      <c r="G21" s="6" t="n">
        <v>142574.846455318</v>
      </c>
      <c r="H21" s="6" t="n">
        <v>216042.992263313</v>
      </c>
      <c r="I21" s="6" t="n">
        <v>5485.72777635205</v>
      </c>
      <c r="J21" s="6" t="n">
        <v>2649.19066085364</v>
      </c>
      <c r="K21" s="6" t="n">
        <v>12019.3411762744</v>
      </c>
      <c r="L21" s="6" t="n">
        <v>5944.50562439604</v>
      </c>
      <c r="M21" s="6" t="n">
        <v>2840.83474047526</v>
      </c>
      <c r="N21" s="6" t="n">
        <v>12976.2059918179</v>
      </c>
      <c r="O21" s="6" t="n">
        <f aca="false">S21*O33</f>
        <v>95388011.3302404</v>
      </c>
      <c r="P21" s="6" t="n">
        <f aca="false">S21*P33</f>
        <v>81395838.3034528</v>
      </c>
      <c r="Q21" s="6" t="n">
        <f aca="false">S21*Q33</f>
        <v>109992481.858753</v>
      </c>
      <c r="R21" s="6" t="n">
        <f aca="false">O21/C21</f>
        <v>583.887940302397</v>
      </c>
      <c r="S21" s="6" t="n">
        <f aca="false">C21/MAX(C33,C18+C19+C20+C21)</f>
        <v>0.123425167500309</v>
      </c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133</v>
      </c>
      <c r="B22" s="5" t="s">
        <v>110</v>
      </c>
      <c r="C22" s="12" t="n">
        <v>3240754.24348125</v>
      </c>
      <c r="D22" s="12" t="n">
        <v>2751251.39114483</v>
      </c>
      <c r="E22" s="12" t="n">
        <v>3758783.43439868</v>
      </c>
      <c r="F22" s="12" t="n">
        <v>3496769.08602377</v>
      </c>
      <c r="G22" s="12" t="n">
        <v>2971771.5624259</v>
      </c>
      <c r="H22" s="12" t="n">
        <v>4035794.49786714</v>
      </c>
      <c r="I22" s="12" t="n">
        <v>282046.229176819</v>
      </c>
      <c r="J22" s="12" t="n">
        <v>193882.408905682</v>
      </c>
      <c r="K22" s="12" t="n">
        <v>389317.472988284</v>
      </c>
      <c r="L22" s="12" t="n">
        <v>302487.314137522</v>
      </c>
      <c r="M22" s="12" t="n">
        <v>209497.679446004</v>
      </c>
      <c r="N22" s="12" t="n">
        <v>421379.349722018</v>
      </c>
      <c r="O22" s="12" t="n">
        <v>6048468165.06</v>
      </c>
      <c r="P22" s="12" t="n">
        <v>5342063215.23</v>
      </c>
      <c r="Q22" s="12" t="n">
        <v>6830775623.02</v>
      </c>
      <c r="R22" s="12" t="n">
        <f aca="false">O22/C22</f>
        <v>1866.37668599106</v>
      </c>
      <c r="S22" s="12"/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133</v>
      </c>
      <c r="B23" s="5" t="s">
        <v>135</v>
      </c>
      <c r="C23" s="6" t="n">
        <v>2248.57594130965</v>
      </c>
      <c r="D23" s="6" t="n">
        <v>1814.71837681688</v>
      </c>
      <c r="E23" s="6" t="n">
        <v>2747.31088170006</v>
      </c>
      <c r="F23" s="6" t="n">
        <v>2582.08575849887</v>
      </c>
      <c r="G23" s="6" t="n">
        <v>2016.55395442461</v>
      </c>
      <c r="H23" s="6" t="n">
        <v>3257.73472087017</v>
      </c>
      <c r="I23" s="6" t="n">
        <v>378.366221379875</v>
      </c>
      <c r="J23" s="6" t="n">
        <v>253.705444587916</v>
      </c>
      <c r="K23" s="6" t="n">
        <v>529.005523983386</v>
      </c>
      <c r="L23" s="6" t="n">
        <v>434.524317091288</v>
      </c>
      <c r="M23" s="6" t="n">
        <v>284.803118007012</v>
      </c>
      <c r="N23" s="6" t="n">
        <v>625.79670470751</v>
      </c>
      <c r="O23" s="6" t="n">
        <v>15561954.9</v>
      </c>
      <c r="P23" s="6" t="n">
        <v>12444425.36</v>
      </c>
      <c r="Q23" s="6" t="n">
        <v>19747213.44</v>
      </c>
      <c r="R23" s="6" t="n">
        <f aca="false">O23/C23</f>
        <v>6920.80468091114</v>
      </c>
      <c r="S23" s="6"/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133</v>
      </c>
      <c r="B24" s="5" t="s">
        <v>5</v>
      </c>
      <c r="C24" s="6" t="n">
        <v>295653.14</v>
      </c>
      <c r="D24" s="6" t="n">
        <v>231276.49</v>
      </c>
      <c r="E24" s="6" t="n">
        <v>372385.97</v>
      </c>
      <c r="F24" s="6" t="n">
        <v>240318.1</v>
      </c>
      <c r="G24" s="6" t="n">
        <v>186884.24</v>
      </c>
      <c r="H24" s="6" t="n">
        <v>304591.63</v>
      </c>
      <c r="I24" s="6" t="n">
        <v>11310.21</v>
      </c>
      <c r="J24" s="6" t="n">
        <v>5620.36</v>
      </c>
      <c r="K24" s="6" t="n">
        <v>18131.29</v>
      </c>
      <c r="L24" s="6" t="n">
        <v>9458.22</v>
      </c>
      <c r="M24" s="6" t="n">
        <v>4710.22</v>
      </c>
      <c r="N24" s="6" t="n">
        <v>15310.58</v>
      </c>
      <c r="O24" s="6" t="n">
        <v>71391021.037246</v>
      </c>
      <c r="P24" s="6" t="n">
        <v>62541704.8504769</v>
      </c>
      <c r="Q24" s="6" t="n">
        <v>81207592.6126156</v>
      </c>
      <c r="R24" s="6" t="n">
        <f aca="false">O24/C24</f>
        <v>241.468840943972</v>
      </c>
      <c r="S24" s="6" t="n">
        <v>0.135870561679798</v>
      </c>
      <c r="T24" s="5" t="s">
        <v>95</v>
      </c>
      <c r="U24" s="5" t="s">
        <v>96</v>
      </c>
    </row>
    <row r="25" s="5" customFormat="true" ht="14.25" hidden="false" customHeight="true" outlineLevel="0" collapsed="false">
      <c r="A25" s="5" t="s">
        <v>133</v>
      </c>
      <c r="B25" s="5" t="s">
        <v>114</v>
      </c>
      <c r="C25" s="6" t="n">
        <v>67588.3524608539</v>
      </c>
      <c r="D25" s="6" t="n">
        <v>54670.3825144798</v>
      </c>
      <c r="E25" s="6" t="n">
        <v>80769.6829343149</v>
      </c>
      <c r="F25" s="6" t="n">
        <v>73189.904019936</v>
      </c>
      <c r="G25" s="6" t="n">
        <v>59253.6523305722</v>
      </c>
      <c r="H25" s="6" t="n">
        <v>87150.0822492941</v>
      </c>
      <c r="I25" s="6" t="n">
        <v>9128.41882621298</v>
      </c>
      <c r="J25" s="6" t="n">
        <v>6043.31760969171</v>
      </c>
      <c r="K25" s="6" t="n">
        <v>12954.5360204565</v>
      </c>
      <c r="L25" s="6" t="n">
        <v>9836.17089856626</v>
      </c>
      <c r="M25" s="6" t="n">
        <v>6541.57187785982</v>
      </c>
      <c r="N25" s="6" t="n">
        <v>14213.6770656103</v>
      </c>
      <c r="O25" s="6" t="n">
        <v>699350434.58</v>
      </c>
      <c r="P25" s="6" t="n">
        <v>597418447.14</v>
      </c>
      <c r="Q25" s="6" t="n">
        <v>806076495.93</v>
      </c>
      <c r="R25" s="6" t="n">
        <f aca="false">O25/C25</f>
        <v>10347.2034620914</v>
      </c>
      <c r="S25" s="6"/>
      <c r="T25" s="5" t="s">
        <v>95</v>
      </c>
      <c r="U25" s="5" t="s">
        <v>96</v>
      </c>
    </row>
    <row r="26" s="5" customFormat="true" ht="14.25" hidden="false" customHeight="true" outlineLevel="0" collapsed="false">
      <c r="A26" s="5" t="s">
        <v>133</v>
      </c>
      <c r="B26" s="5" t="s">
        <v>106</v>
      </c>
      <c r="C26" s="6" t="n">
        <v>5119.11</v>
      </c>
      <c r="D26" s="6" t="n">
        <v>3845.34</v>
      </c>
      <c r="E26" s="6" t="n">
        <v>6598.19</v>
      </c>
      <c r="F26" s="6" t="n">
        <v>5537.87</v>
      </c>
      <c r="G26" s="6" t="n">
        <v>4236.44</v>
      </c>
      <c r="H26" s="6" t="n">
        <v>6987.21</v>
      </c>
      <c r="I26" s="6" t="n">
        <v>482.8</v>
      </c>
      <c r="J26" s="6" t="n">
        <v>325.17</v>
      </c>
      <c r="K26" s="6" t="n">
        <v>679.94</v>
      </c>
      <c r="L26" s="6" t="n">
        <v>519</v>
      </c>
      <c r="M26" s="6" t="n">
        <v>338.75</v>
      </c>
      <c r="N26" s="6" t="n">
        <v>751.7</v>
      </c>
      <c r="O26" s="6" t="n">
        <v>69105619.43</v>
      </c>
      <c r="P26" s="6" t="n">
        <v>59195907.86</v>
      </c>
      <c r="Q26" s="6" t="n">
        <v>80221174.04</v>
      </c>
      <c r="R26" s="6" t="n">
        <f aca="false">O26/C26</f>
        <v>13499.5378942824</v>
      </c>
      <c r="S26" s="6"/>
      <c r="T26" s="5" t="s">
        <v>95</v>
      </c>
      <c r="U26" s="5" t="s">
        <v>96</v>
      </c>
    </row>
    <row r="27" s="5" customFormat="true" ht="14.25" hidden="false" customHeight="true" outlineLevel="0" collapsed="false">
      <c r="A27" s="5" t="s">
        <v>133</v>
      </c>
      <c r="B27" s="5" t="s">
        <v>41</v>
      </c>
      <c r="C27" s="6" t="n">
        <v>253759.467534103</v>
      </c>
      <c r="D27" s="6" t="n">
        <v>227976.787045256</v>
      </c>
      <c r="E27" s="6" t="n">
        <v>281213.22277941</v>
      </c>
      <c r="F27" s="6" t="n">
        <v>279152.954917164</v>
      </c>
      <c r="G27" s="6" t="n">
        <v>246980.599991337</v>
      </c>
      <c r="H27" s="6" t="n">
        <v>315010.093171728</v>
      </c>
      <c r="I27" s="6" t="n">
        <v>33357.4980275319</v>
      </c>
      <c r="J27" s="6" t="n">
        <v>23500.3859991824</v>
      </c>
      <c r="K27" s="6" t="n">
        <v>43757.090272687</v>
      </c>
      <c r="L27" s="6" t="n">
        <v>36502.8473012975</v>
      </c>
      <c r="M27" s="6" t="n">
        <v>25468.8246988272</v>
      </c>
      <c r="N27" s="6" t="n">
        <v>47799.5016245573</v>
      </c>
      <c r="O27" s="6" t="n">
        <v>1106040087.67</v>
      </c>
      <c r="P27" s="6" t="n">
        <v>958109363.86</v>
      </c>
      <c r="Q27" s="6" t="n">
        <v>1259449923.3</v>
      </c>
      <c r="R27" s="12" t="n">
        <f aca="false">O27/C27</f>
        <v>4358.61604856717</v>
      </c>
      <c r="S27" s="6"/>
      <c r="T27" s="5" t="s">
        <v>95</v>
      </c>
      <c r="U27" s="5" t="s">
        <v>96</v>
      </c>
    </row>
    <row r="28" customFormat="false" ht="14.25" hidden="false" customHeight="true" outlineLevel="0" collapsed="false">
      <c r="C28" s="6"/>
      <c r="D28" s="6" t="n">
        <v>171325130.91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2"/>
      <c r="S28" s="6"/>
    </row>
    <row r="29" s="5" customFormat="true" ht="14.25" hidden="false" customHeight="true" outlineLevel="0" collapsed="false">
      <c r="R29" s="12"/>
    </row>
    <row r="30" s="5" customFormat="true" ht="14.25" hidden="false" customHeight="true" outlineLevel="0" collapsed="false">
      <c r="B30" s="5" t="s">
        <v>107</v>
      </c>
      <c r="C30" s="6" t="n">
        <v>102800.47</v>
      </c>
      <c r="D30" s="6" t="n">
        <v>92244.83</v>
      </c>
      <c r="E30" s="6" t="n">
        <v>115236.27</v>
      </c>
      <c r="F30" s="6" t="n">
        <v>111693.95</v>
      </c>
      <c r="G30" s="6" t="n">
        <v>98154.22</v>
      </c>
      <c r="H30" s="6" t="n">
        <v>126263.55</v>
      </c>
      <c r="I30" s="6" t="n">
        <v>10449.33</v>
      </c>
      <c r="J30" s="6" t="n">
        <v>7173.03</v>
      </c>
      <c r="K30" s="6" t="n">
        <v>14036.65</v>
      </c>
      <c r="L30" s="6" t="n">
        <v>11303.86</v>
      </c>
      <c r="M30" s="6" t="n">
        <v>7822.96</v>
      </c>
      <c r="N30" s="6" t="n">
        <v>15402.97</v>
      </c>
      <c r="O30" s="6" t="n">
        <v>195818699.44</v>
      </c>
      <c r="P30" s="6" t="n">
        <v>171504314.28</v>
      </c>
      <c r="Q30" s="6" t="n">
        <v>224913344.4</v>
      </c>
      <c r="R30" s="6" t="n">
        <f aca="false">O30/C30</f>
        <v>1904.84245295766</v>
      </c>
      <c r="S30" s="6"/>
    </row>
    <row r="31" s="5" customFormat="true" ht="14.25" hidden="false" customHeight="true" outlineLevel="0" collapsed="false">
      <c r="B31" s="5" t="s">
        <v>108</v>
      </c>
      <c r="C31" s="6" t="n">
        <v>2175991.17</v>
      </c>
      <c r="D31" s="6" t="n">
        <v>1678057.59</v>
      </c>
      <c r="E31" s="6" t="n">
        <v>2775538.95</v>
      </c>
      <c r="F31" s="6" t="n">
        <v>2216942.78</v>
      </c>
      <c r="G31" s="6" t="n">
        <v>1587253.5</v>
      </c>
      <c r="H31" s="6" t="n">
        <v>2933059.44</v>
      </c>
      <c r="I31" s="6" t="n">
        <v>54836.51</v>
      </c>
      <c r="J31" s="6" t="n">
        <v>32305.43</v>
      </c>
      <c r="K31" s="6" t="n">
        <v>91456.31</v>
      </c>
      <c r="L31" s="6" t="n">
        <v>53273.9</v>
      </c>
      <c r="M31" s="6" t="n">
        <v>30682.21</v>
      </c>
      <c r="N31" s="6" t="n">
        <v>90496.16</v>
      </c>
      <c r="O31" s="6" t="n">
        <v>525434061.32</v>
      </c>
      <c r="P31" s="6" t="n">
        <v>460303571.85</v>
      </c>
      <c r="Q31" s="6" t="n">
        <v>597683498.24</v>
      </c>
      <c r="R31" s="6" t="n">
        <f aca="false">O31/C31</f>
        <v>241.468838919967</v>
      </c>
      <c r="S31" s="6"/>
    </row>
    <row r="32" s="5" customFormat="true" ht="14.25" hidden="false" customHeight="true" outlineLevel="0" collapsed="false">
      <c r="B32" s="5" t="s">
        <v>109</v>
      </c>
      <c r="C32" s="6" t="n">
        <v>7007764.8392237</v>
      </c>
      <c r="D32" s="6" t="n">
        <v>6540017.20004767</v>
      </c>
      <c r="E32" s="6" t="n">
        <v>7555408.72678277</v>
      </c>
      <c r="F32" s="6" t="n">
        <v>7588551.49577442</v>
      </c>
      <c r="G32" s="6" t="n">
        <v>7095679.51896408</v>
      </c>
      <c r="H32" s="6" t="n">
        <v>8174575.5552808</v>
      </c>
      <c r="I32" s="6" t="n">
        <v>287491.706595892</v>
      </c>
      <c r="J32" s="6" t="n">
        <v>204301.320308404</v>
      </c>
      <c r="K32" s="6" t="n">
        <v>400681.297228752</v>
      </c>
      <c r="L32" s="6" t="n">
        <v>311407.705846522</v>
      </c>
      <c r="M32" s="6" t="n">
        <v>220740.63407927</v>
      </c>
      <c r="N32" s="6" t="n">
        <v>430065.651607058</v>
      </c>
      <c r="O32" s="6" t="n">
        <f aca="false">O7+O9</f>
        <v>2515304739.86</v>
      </c>
      <c r="P32" s="6" t="n">
        <f aca="false">P7+P9</f>
        <v>2211086622.09</v>
      </c>
      <c r="Q32" s="6" t="n">
        <f aca="false">Q7+Q9</f>
        <v>2856008515.3</v>
      </c>
      <c r="R32" s="6" t="n">
        <f aca="false">O32/C32</f>
        <v>358.931099654114</v>
      </c>
      <c r="S32" s="6"/>
    </row>
    <row r="33" customFormat="false" ht="14.25" hidden="false" customHeight="true" outlineLevel="0" collapsed="false">
      <c r="B33" s="5" t="s">
        <v>131</v>
      </c>
      <c r="C33" s="6" t="n">
        <v>1296973.34807119</v>
      </c>
      <c r="D33" s="6" t="n">
        <v>1093533.62244154</v>
      </c>
      <c r="E33" s="6" t="n">
        <v>1531120.18628377</v>
      </c>
      <c r="F33" s="6" t="n">
        <v>1382978.41895754</v>
      </c>
      <c r="G33" s="6" t="n">
        <v>1151909.46475578</v>
      </c>
      <c r="H33" s="6" t="n">
        <v>1646258.09098487</v>
      </c>
      <c r="I33" s="6" t="n">
        <v>44374.5364575833</v>
      </c>
      <c r="J33" s="6" t="n">
        <v>20736.1101932803</v>
      </c>
      <c r="K33" s="6" t="n">
        <v>95653.5867142978</v>
      </c>
      <c r="L33" s="6" t="n">
        <v>47143.113918927</v>
      </c>
      <c r="M33" s="6" t="n">
        <v>21806.5035201501</v>
      </c>
      <c r="N33" s="6" t="n">
        <v>102437.018525798</v>
      </c>
      <c r="O33" s="6" t="n">
        <v>772840849.74</v>
      </c>
      <c r="P33" s="6" t="n">
        <v>659475210.38</v>
      </c>
      <c r="Q33" s="6" t="n">
        <v>891167369.56</v>
      </c>
      <c r="R33" s="6" t="n">
        <f aca="false">O33/C33</f>
        <v>595.880286121022</v>
      </c>
      <c r="S33" s="6"/>
      <c r="T33" s="5" t="s">
        <v>95</v>
      </c>
      <c r="U33" s="5" t="s">
        <v>96</v>
      </c>
    </row>
    <row r="35" customFormat="false" ht="14.25" hidden="false" customHeight="true" outlineLevel="0" collapsed="false">
      <c r="O35" s="1" t="s">
        <v>123</v>
      </c>
      <c r="P35" s="1" t="n">
        <f aca="false">O7/O32</f>
        <v>0.379126245948663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7" width="25.44"/>
    <col collapsed="false" customWidth="true" hidden="false" outlineLevel="0" max="3" min="3" style="1" width="14.11"/>
    <col collapsed="false" customWidth="true" hidden="false" outlineLevel="0" max="5" min="4" style="1" width="10.56"/>
    <col collapsed="false" customWidth="true" hidden="false" outlineLevel="0" max="6" min="6" style="1" width="16.11"/>
    <col collapsed="false" customWidth="true" hidden="false" outlineLevel="0" max="7" min="7" style="1" width="10.56"/>
    <col collapsed="false" customWidth="true" hidden="false" outlineLevel="0" max="8" min="8" style="1" width="13.34"/>
    <col collapsed="false" customWidth="true" hidden="false" outlineLevel="0" max="9" min="9" style="1" width="15.11"/>
    <col collapsed="false" customWidth="true" hidden="false" outlineLevel="0" max="14" min="10" style="1" width="9.56"/>
    <col collapsed="false" customWidth="true" hidden="false" outlineLevel="0" max="17" min="15" style="1" width="14.67"/>
    <col collapsed="false" customWidth="true" hidden="false" outlineLevel="0" max="18" min="18" style="1" width="9.56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4" t="s">
        <v>72</v>
      </c>
      <c r="B1" s="18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136</v>
      </c>
      <c r="B2" s="19" t="s">
        <v>19</v>
      </c>
      <c r="C2" s="20" t="n">
        <v>35467.6301308082</v>
      </c>
      <c r="D2" s="21"/>
      <c r="E2" s="21"/>
      <c r="F2" s="20" t="n">
        <v>32518.4622029858</v>
      </c>
      <c r="G2" s="21"/>
      <c r="H2" s="21"/>
      <c r="I2" s="20" t="n">
        <v>6282.33950439263</v>
      </c>
      <c r="J2" s="21"/>
      <c r="K2" s="21"/>
      <c r="L2" s="20" t="n">
        <v>5713.70927028581</v>
      </c>
      <c r="M2" s="21"/>
      <c r="N2" s="21"/>
      <c r="O2" s="20" t="n">
        <v>197107855.71</v>
      </c>
      <c r="P2" s="20" t="n">
        <v>173029152.8</v>
      </c>
      <c r="Q2" s="20" t="n">
        <v>224676260.57</v>
      </c>
      <c r="R2" s="20" t="n">
        <f aca="false">O2/C2</f>
        <v>5557.4013539401</v>
      </c>
      <c r="S2" s="20"/>
      <c r="T2" s="20" t="s">
        <v>95</v>
      </c>
      <c r="U2" s="20" t="s">
        <v>96</v>
      </c>
    </row>
    <row r="3" s="5" customFormat="true" ht="14.25" hidden="false" customHeight="true" outlineLevel="0" collapsed="false">
      <c r="A3" s="5" t="s">
        <v>136</v>
      </c>
      <c r="B3" s="22" t="s">
        <v>94</v>
      </c>
      <c r="C3" s="6" t="n">
        <v>5326.30053204226</v>
      </c>
      <c r="D3" s="6" t="n">
        <v>3572.6787727491</v>
      </c>
      <c r="E3" s="6" t="n">
        <v>7737.30899986326</v>
      </c>
      <c r="F3" s="6" t="n">
        <v>5174.49228731977</v>
      </c>
      <c r="G3" s="6" t="n">
        <v>3349.73430166457</v>
      </c>
      <c r="H3" s="6" t="n">
        <v>8104.3090538806</v>
      </c>
      <c r="I3" s="6" t="n">
        <v>592.265297228598</v>
      </c>
      <c r="J3" s="6" t="n">
        <v>376.090651804065</v>
      </c>
      <c r="K3" s="6" t="n">
        <v>903.956010498476</v>
      </c>
      <c r="L3" s="6" t="n">
        <v>570.258665677614</v>
      </c>
      <c r="M3" s="6" t="n">
        <v>364.299563224964</v>
      </c>
      <c r="N3" s="6" t="n">
        <v>859.16633099199</v>
      </c>
      <c r="O3" s="6" t="n">
        <v>478173845.22</v>
      </c>
      <c r="P3" s="6" t="n">
        <v>413122327.44</v>
      </c>
      <c r="Q3" s="6" t="n">
        <v>555071418.34</v>
      </c>
      <c r="R3" s="23" t="n">
        <f aca="false">O3/C3</f>
        <v>89775.9790953167</v>
      </c>
      <c r="S3" s="6"/>
      <c r="T3" s="5" t="s">
        <v>95</v>
      </c>
      <c r="U3" s="5" t="s">
        <v>96</v>
      </c>
    </row>
    <row r="4" customFormat="false" ht="14.25" hidden="false" customHeight="true" outlineLevel="0" collapsed="false">
      <c r="A4" s="1" t="s">
        <v>136</v>
      </c>
      <c r="B4" s="17" t="s">
        <v>97</v>
      </c>
      <c r="C4" s="1" t="n">
        <v>32218.4182246492</v>
      </c>
      <c r="D4" s="1" t="n">
        <v>26325.7100867786</v>
      </c>
      <c r="E4" s="1" t="n">
        <v>39127.0323991028</v>
      </c>
      <c r="F4" s="1" t="n">
        <v>30383.6740928706</v>
      </c>
      <c r="G4" s="1" t="n">
        <v>24184.5053382236</v>
      </c>
      <c r="H4" s="1" t="n">
        <v>38195.3913836443</v>
      </c>
      <c r="I4" s="1" t="n">
        <v>4710.05486509822</v>
      </c>
      <c r="J4" s="1" t="n">
        <v>2998.86855769774</v>
      </c>
      <c r="K4" s="1" t="n">
        <v>6538.47422584324</v>
      </c>
      <c r="L4" s="1" t="n">
        <v>4427.80639361701</v>
      </c>
      <c r="M4" s="1" t="n">
        <v>2795.74280974516</v>
      </c>
      <c r="N4" s="1" t="n">
        <v>6266.30800598114</v>
      </c>
      <c r="O4" s="12" t="n">
        <f aca="false">S4*O29</f>
        <v>55929410.7418812</v>
      </c>
      <c r="P4" s="12" t="n">
        <f aca="false">S4*P29</f>
        <v>47743700.6742781</v>
      </c>
      <c r="Q4" s="12" t="n">
        <f aca="false">S4*Q29</f>
        <v>65614624.1045943</v>
      </c>
      <c r="R4" s="23" t="n">
        <f aca="false">O4/C4</f>
        <v>1735.94527055619</v>
      </c>
      <c r="S4" s="12" t="n">
        <v>0.331629282683679</v>
      </c>
      <c r="T4" s="1" t="s">
        <v>95</v>
      </c>
      <c r="U4" s="1" t="s">
        <v>96</v>
      </c>
    </row>
    <row r="5" s="5" customFormat="true" ht="14.25" hidden="false" customHeight="true" outlineLevel="0" collapsed="false">
      <c r="A5" s="5" t="s">
        <v>136</v>
      </c>
      <c r="B5" s="22" t="s">
        <v>119</v>
      </c>
      <c r="C5" s="6" t="n">
        <v>100375.025203755</v>
      </c>
      <c r="D5" s="6" t="n">
        <v>80703.058797632</v>
      </c>
      <c r="E5" s="6" t="n">
        <v>118355.239350605</v>
      </c>
      <c r="F5" s="6" t="n">
        <v>96565.7492916412</v>
      </c>
      <c r="G5" s="6" t="n">
        <v>78472.3841707557</v>
      </c>
      <c r="H5" s="6" t="n">
        <v>119435.537396062</v>
      </c>
      <c r="I5" s="6" t="n">
        <v>6887.68986624725</v>
      </c>
      <c r="J5" s="6" t="n">
        <v>4458.24711633298</v>
      </c>
      <c r="K5" s="6" t="n">
        <v>9778.87495050211</v>
      </c>
      <c r="L5" s="6" t="n">
        <v>6589.10399000014</v>
      </c>
      <c r="M5" s="6" t="n">
        <v>4216.26253554902</v>
      </c>
      <c r="N5" s="6" t="n">
        <v>9543.90909758984</v>
      </c>
      <c r="O5" s="6" t="n">
        <v>745784871.33</v>
      </c>
      <c r="P5" s="6" t="n">
        <v>645749351.77</v>
      </c>
      <c r="Q5" s="6" t="n">
        <v>854505443.57</v>
      </c>
      <c r="R5" s="23" t="n">
        <f aca="false">O5/C5</f>
        <v>7429.98439916806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136</v>
      </c>
      <c r="B6" s="22" t="s">
        <v>122</v>
      </c>
      <c r="C6" s="6" t="n">
        <v>2138195.03137779</v>
      </c>
      <c r="D6" s="6" t="n">
        <v>1974880.82023672</v>
      </c>
      <c r="E6" s="6" t="n">
        <v>2301757.66118274</v>
      </c>
      <c r="F6" s="6" t="n">
        <v>2264427.56164721</v>
      </c>
      <c r="G6" s="6" t="n">
        <v>2083455.46310764</v>
      </c>
      <c r="H6" s="6" t="n">
        <v>2472416.93440347</v>
      </c>
      <c r="I6" s="6" t="n">
        <v>145584.062808354</v>
      </c>
      <c r="J6" s="6" t="n">
        <v>103605.102145633</v>
      </c>
      <c r="K6" s="6" t="n">
        <v>202491.174514813</v>
      </c>
      <c r="L6" s="6" t="n">
        <v>153702.165964189</v>
      </c>
      <c r="M6" s="6" t="n">
        <v>109716.044844135</v>
      </c>
      <c r="N6" s="6" t="n">
        <v>211081.368546297</v>
      </c>
      <c r="O6" s="6" t="n">
        <v>20259531426.12</v>
      </c>
      <c r="P6" s="6" t="n">
        <v>17854346750.97</v>
      </c>
      <c r="Q6" s="6" t="n">
        <v>22985520851.85</v>
      </c>
      <c r="R6" s="20" t="n">
        <f aca="false">O6/C6</f>
        <v>9475.06243762308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136</v>
      </c>
      <c r="B7" s="22" t="s">
        <v>26</v>
      </c>
      <c r="C7" s="6" t="n">
        <v>3923037.47007957</v>
      </c>
      <c r="D7" s="6" t="n">
        <v>3387797.28679084</v>
      </c>
      <c r="E7" s="6" t="n">
        <v>4652397.3428711</v>
      </c>
      <c r="F7" s="6" t="n">
        <v>3757182.71057035</v>
      </c>
      <c r="G7" s="6" t="n">
        <v>3254603.5335282</v>
      </c>
      <c r="H7" s="6" t="n">
        <v>4486360.58483184</v>
      </c>
      <c r="I7" s="6" t="n">
        <v>177487.102160115</v>
      </c>
      <c r="J7" s="6" t="n">
        <v>125066.255448619</v>
      </c>
      <c r="K7" s="6" t="n">
        <v>254165.584250097</v>
      </c>
      <c r="L7" s="6" t="n">
        <v>167205.538304847</v>
      </c>
      <c r="M7" s="6" t="n">
        <v>118965.48918923</v>
      </c>
      <c r="N7" s="6" t="n">
        <v>237018.295443755</v>
      </c>
      <c r="O7" s="6" t="n">
        <v>1191161593.34</v>
      </c>
      <c r="P7" s="6" t="n">
        <v>1044328442.35</v>
      </c>
      <c r="Q7" s="6" t="n">
        <v>1346036448.62</v>
      </c>
      <c r="R7" s="23" t="n">
        <f aca="false">O7/C7</f>
        <v>303.632479277808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136</v>
      </c>
      <c r="B8" s="22" t="s">
        <v>9</v>
      </c>
      <c r="C8" s="6" t="n">
        <v>595753.07107622</v>
      </c>
      <c r="D8" s="6" t="n">
        <v>437985.192793894</v>
      </c>
      <c r="E8" s="6" t="n">
        <v>768853.823282272</v>
      </c>
      <c r="F8" s="6" t="n">
        <v>507612.464533757</v>
      </c>
      <c r="G8" s="6" t="n">
        <v>337305.705203548</v>
      </c>
      <c r="H8" s="6" t="n">
        <v>709173.987416109</v>
      </c>
      <c r="I8" s="6" t="n">
        <v>19002.6741173349</v>
      </c>
      <c r="J8" s="6" t="n">
        <v>11408.1625320657</v>
      </c>
      <c r="K8" s="6" t="n">
        <v>27586.6812301075</v>
      </c>
      <c r="L8" s="6" t="n">
        <v>16141.7497513771</v>
      </c>
      <c r="M8" s="6" t="n">
        <v>9074.35987706477</v>
      </c>
      <c r="N8" s="6" t="n">
        <v>25014.1109747654</v>
      </c>
      <c r="O8" s="6" t="n">
        <v>107213331.78</v>
      </c>
      <c r="P8" s="6" t="n">
        <v>92421343.92</v>
      </c>
      <c r="Q8" s="6" t="n">
        <v>123933728.8</v>
      </c>
      <c r="R8" s="20" t="n">
        <f aca="false">O8/C8</f>
        <v>179.962700966561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136</v>
      </c>
      <c r="B9" s="22" t="s">
        <v>120</v>
      </c>
      <c r="C9" s="6" t="n">
        <v>3502928.82456814</v>
      </c>
      <c r="D9" s="6" t="n">
        <v>2877101.54967661</v>
      </c>
      <c r="E9" s="6" t="n">
        <v>4273311.77476615</v>
      </c>
      <c r="F9" s="6" t="n">
        <v>3322761.22743518</v>
      </c>
      <c r="G9" s="6" t="n">
        <v>2713302.64512497</v>
      </c>
      <c r="H9" s="6" t="n">
        <v>4028881.48012594</v>
      </c>
      <c r="I9" s="6" t="n">
        <v>399543.65234158</v>
      </c>
      <c r="J9" s="6" t="n">
        <v>271505.142772214</v>
      </c>
      <c r="K9" s="6" t="n">
        <v>562271.450946862</v>
      </c>
      <c r="L9" s="6" t="n">
        <v>377133.801739533</v>
      </c>
      <c r="M9" s="6" t="n">
        <v>254623.743947637</v>
      </c>
      <c r="N9" s="6" t="n">
        <v>533818.624829012</v>
      </c>
      <c r="O9" s="6" t="n">
        <v>3202188220.79</v>
      </c>
      <c r="P9" s="6" t="n">
        <v>2839956617.14</v>
      </c>
      <c r="Q9" s="6" t="n">
        <v>3688085268.82</v>
      </c>
      <c r="R9" s="20" t="n">
        <f aca="false">O9/C9</f>
        <v>914.145956472519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136</v>
      </c>
      <c r="B10" s="22" t="s">
        <v>134</v>
      </c>
      <c r="C10" s="6" t="n">
        <v>166155.233678296</v>
      </c>
      <c r="D10" s="6" t="n">
        <v>127126.431175773</v>
      </c>
      <c r="E10" s="6" t="n">
        <v>207718.766189829</v>
      </c>
      <c r="F10" s="6" t="n">
        <v>150686.867352786</v>
      </c>
      <c r="G10" s="6" t="n">
        <v>102691.702360321</v>
      </c>
      <c r="H10" s="6" t="n">
        <v>202773.676793897</v>
      </c>
      <c r="I10" s="6" t="n">
        <v>28.4528572388074</v>
      </c>
      <c r="J10" s="6" t="n">
        <v>9.33200306321938</v>
      </c>
      <c r="K10" s="6" t="n">
        <v>66.2397872596284</v>
      </c>
      <c r="L10" s="6" t="n">
        <v>25.6473292035059</v>
      </c>
      <c r="M10" s="6" t="n">
        <v>7.9978233441049</v>
      </c>
      <c r="N10" s="6" t="n">
        <v>66.69302325729</v>
      </c>
      <c r="O10" s="6" t="n">
        <v>247001327.79</v>
      </c>
      <c r="P10" s="6" t="n">
        <v>202935281.61</v>
      </c>
      <c r="Q10" s="6" t="n">
        <v>297979611.56</v>
      </c>
      <c r="R10" s="20" t="n">
        <f aca="false">O10/C10</f>
        <v>1486.5696512951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136</v>
      </c>
      <c r="B11" s="22" t="s">
        <v>98</v>
      </c>
      <c r="C11" s="6" t="n">
        <v>1300.81920191516</v>
      </c>
      <c r="D11" s="6" t="n">
        <v>796.670198364675</v>
      </c>
      <c r="E11" s="6" t="n">
        <v>2251.10628399439</v>
      </c>
      <c r="F11" s="6" t="n">
        <v>1295.97397990104</v>
      </c>
      <c r="G11" s="6" t="n">
        <v>753.536273269835</v>
      </c>
      <c r="H11" s="6" t="n">
        <v>2328.57889783201</v>
      </c>
      <c r="I11" s="6" t="n">
        <v>133.599729321378</v>
      </c>
      <c r="J11" s="6" t="n">
        <v>70.6469975474988</v>
      </c>
      <c r="K11" s="6" t="n">
        <v>250.31071520749</v>
      </c>
      <c r="L11" s="6" t="n">
        <v>133.209273297405</v>
      </c>
      <c r="M11" s="6" t="n">
        <v>69.2820902665801</v>
      </c>
      <c r="N11" s="6" t="n">
        <v>262.907692463101</v>
      </c>
      <c r="O11" s="6" t="n">
        <v>214520939.56</v>
      </c>
      <c r="P11" s="6" t="n">
        <v>184830499.27</v>
      </c>
      <c r="Q11" s="6" t="n">
        <v>253053865.54</v>
      </c>
      <c r="R11" s="23" t="n">
        <f aca="false">O11/C11</f>
        <v>164912.187061943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136</v>
      </c>
      <c r="B12" s="24" t="s">
        <v>44</v>
      </c>
      <c r="C12" s="6" t="n">
        <v>1787.63138435008</v>
      </c>
      <c r="D12" s="6" t="n">
        <v>1440.74242595433</v>
      </c>
      <c r="E12" s="6" t="n">
        <v>2207.11351439091</v>
      </c>
      <c r="F12" s="6" t="n">
        <v>1720.79546142751</v>
      </c>
      <c r="G12" s="6" t="n">
        <v>1335.5687531358</v>
      </c>
      <c r="H12" s="6" t="n">
        <v>2173.12069206505</v>
      </c>
      <c r="I12" s="6" t="n">
        <v>380.139028661448</v>
      </c>
      <c r="J12" s="6" t="n">
        <v>263.998472250307</v>
      </c>
      <c r="K12" s="6" t="n">
        <v>535.180858235554</v>
      </c>
      <c r="L12" s="6" t="n">
        <v>365.909159098412</v>
      </c>
      <c r="M12" s="6" t="n">
        <v>246.371727300603</v>
      </c>
      <c r="N12" s="6" t="n">
        <v>521.138971737352</v>
      </c>
      <c r="O12" s="6" t="n">
        <v>187669198.44</v>
      </c>
      <c r="P12" s="6" t="n">
        <v>151835890.92</v>
      </c>
      <c r="Q12" s="6" t="n">
        <v>229725743.46</v>
      </c>
      <c r="R12" s="23" t="n">
        <f aca="false">O12/C12</f>
        <v>104982.045002656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136</v>
      </c>
      <c r="B13" s="22" t="s">
        <v>12</v>
      </c>
      <c r="C13" s="6" t="n">
        <v>48070.3618122772</v>
      </c>
      <c r="D13" s="6" t="n">
        <v>44822.1716758846</v>
      </c>
      <c r="E13" s="6" t="n">
        <v>51651.8405331009</v>
      </c>
      <c r="F13" s="6" t="n">
        <v>46630.2448229794</v>
      </c>
      <c r="G13" s="6" t="n">
        <v>43207.2340197033</v>
      </c>
      <c r="H13" s="6" t="n">
        <v>50199.3408786231</v>
      </c>
      <c r="I13" s="6" t="n">
        <v>12035.555460082</v>
      </c>
      <c r="J13" s="6" t="n">
        <v>8822.36338277347</v>
      </c>
      <c r="K13" s="6" t="n">
        <v>15701.8833335571</v>
      </c>
      <c r="L13" s="6" t="n">
        <v>11631.8224496181</v>
      </c>
      <c r="M13" s="6" t="n">
        <v>8446.28086820144</v>
      </c>
      <c r="N13" s="6" t="n">
        <v>15505.0622788133</v>
      </c>
      <c r="O13" s="6" t="n">
        <v>2343055927.89</v>
      </c>
      <c r="P13" s="6" t="n">
        <v>2003879294.82</v>
      </c>
      <c r="Q13" s="6" t="n">
        <v>2745052840.02</v>
      </c>
      <c r="R13" s="20" t="n">
        <f aca="false">O13/C13</f>
        <v>48742.2153600596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136</v>
      </c>
      <c r="B14" s="22" t="s">
        <v>113</v>
      </c>
      <c r="C14" s="6" t="n">
        <v>894717.982205539</v>
      </c>
      <c r="D14" s="6" t="n">
        <v>523927.46018778</v>
      </c>
      <c r="E14" s="6" t="n">
        <v>1389967.61934009</v>
      </c>
      <c r="F14" s="6" t="n">
        <v>855690.399668535</v>
      </c>
      <c r="G14" s="6" t="n">
        <v>500404.574510168</v>
      </c>
      <c r="H14" s="6" t="n">
        <v>1338846.71865421</v>
      </c>
      <c r="I14" s="6" t="n">
        <v>89165.9262035389</v>
      </c>
      <c r="J14" s="6" t="n">
        <v>45930.340838569</v>
      </c>
      <c r="K14" s="6" t="n">
        <v>160020.246129378</v>
      </c>
      <c r="L14" s="6" t="n">
        <v>84826.2601263227</v>
      </c>
      <c r="M14" s="6" t="n">
        <v>45265.140993503</v>
      </c>
      <c r="N14" s="6" t="n">
        <v>153077.361140841</v>
      </c>
      <c r="O14" s="6" t="n">
        <v>2090281614.42</v>
      </c>
      <c r="P14" s="6" t="n">
        <v>1836138554.87</v>
      </c>
      <c r="Q14" s="6" t="n">
        <v>2439426331.99</v>
      </c>
      <c r="R14" s="20" t="n">
        <f aca="false">O14/C14</f>
        <v>2336.24634353198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136</v>
      </c>
      <c r="B15" s="22" t="s">
        <v>100</v>
      </c>
      <c r="C15" s="6" t="n">
        <v>31850.3</v>
      </c>
      <c r="D15" s="6" t="n">
        <v>27172.97</v>
      </c>
      <c r="E15" s="6" t="n">
        <v>36805.5</v>
      </c>
      <c r="F15" s="6" t="n">
        <v>30762.36</v>
      </c>
      <c r="G15" s="6" t="n">
        <v>26275.84</v>
      </c>
      <c r="H15" s="6" t="n">
        <v>35217.89</v>
      </c>
      <c r="I15" s="6" t="n">
        <v>6622.82</v>
      </c>
      <c r="J15" s="6" t="n">
        <v>4645.04</v>
      </c>
      <c r="K15" s="6" t="n">
        <v>8781.05</v>
      </c>
      <c r="L15" s="6" t="n">
        <v>6390.48</v>
      </c>
      <c r="M15" s="6" t="n">
        <v>4589.11</v>
      </c>
      <c r="N15" s="6" t="n">
        <v>8584.62</v>
      </c>
      <c r="O15" s="6" t="n">
        <v>194112.18</v>
      </c>
      <c r="P15" s="6" t="n">
        <v>147317.16</v>
      </c>
      <c r="Q15" s="6" t="n">
        <v>250629.78</v>
      </c>
      <c r="R15" s="23" t="n">
        <f aca="false">O15/C15</f>
        <v>6.09451653516607</v>
      </c>
      <c r="S15" s="6"/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136</v>
      </c>
      <c r="B16" s="22" t="s">
        <v>101</v>
      </c>
      <c r="C16" s="6" t="n">
        <v>270467.72</v>
      </c>
      <c r="D16" s="6" t="n">
        <v>224691.23</v>
      </c>
      <c r="E16" s="6" t="n">
        <v>316808.83</v>
      </c>
      <c r="F16" s="6" t="n">
        <v>259128.21</v>
      </c>
      <c r="G16" s="6" t="n">
        <v>216708.79</v>
      </c>
      <c r="H16" s="6" t="n">
        <v>307897.95</v>
      </c>
      <c r="I16" s="6" t="n">
        <v>28795.81</v>
      </c>
      <c r="J16" s="6" t="n">
        <v>21483.76</v>
      </c>
      <c r="K16" s="6" t="n">
        <v>36374.33</v>
      </c>
      <c r="L16" s="6" t="n">
        <v>27388.64</v>
      </c>
      <c r="M16" s="6" t="n">
        <v>20674.26</v>
      </c>
      <c r="N16" s="6" t="n">
        <v>34695.99</v>
      </c>
      <c r="O16" s="6" t="n">
        <v>1918777.04</v>
      </c>
      <c r="P16" s="6" t="n">
        <v>1344345.06</v>
      </c>
      <c r="Q16" s="6" t="n">
        <v>2858001.45</v>
      </c>
      <c r="R16" s="23" t="n">
        <f aca="false">O16/C16</f>
        <v>7.09429221350334</v>
      </c>
      <c r="S16" s="6"/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136</v>
      </c>
      <c r="B17" s="22" t="s">
        <v>22</v>
      </c>
      <c r="C17" s="6" t="n">
        <v>6478938.53116283</v>
      </c>
      <c r="D17" s="7" t="n">
        <v>6152427.88520563</v>
      </c>
      <c r="E17" s="7" t="n">
        <v>6805449.17712003</v>
      </c>
      <c r="F17" s="6" t="n">
        <v>6014015.15508558</v>
      </c>
      <c r="G17" s="7" t="n">
        <v>5709741.81982941</v>
      </c>
      <c r="H17" s="7" t="n">
        <v>6318288.49034175</v>
      </c>
      <c r="I17" s="6" t="n">
        <f aca="false">I30-I7</f>
        <v>208706.877991526</v>
      </c>
      <c r="J17" s="6" t="n">
        <f aca="false">J30-J7</f>
        <v>150583.860527732</v>
      </c>
      <c r="K17" s="6" t="n">
        <f aca="false">K30-K7</f>
        <v>293720.816159098</v>
      </c>
      <c r="L17" s="6" t="n">
        <f aca="false">L30-L7</f>
        <v>193816.50805775</v>
      </c>
      <c r="M17" s="6" t="n">
        <f aca="false">M30-M7</f>
        <v>140141.1584101</v>
      </c>
      <c r="N17" s="6" t="n">
        <f aca="false">N30-N7</f>
        <v>273481.722686095</v>
      </c>
      <c r="O17" s="5" t="n">
        <v>1542618288</v>
      </c>
      <c r="P17" s="5" t="n">
        <v>1336973699.08</v>
      </c>
      <c r="Q17" s="5" t="n">
        <v>1758880933.01</v>
      </c>
      <c r="R17" s="23" t="n">
        <f aca="false">O17/C17</f>
        <v>238.097379776056</v>
      </c>
    </row>
    <row r="18" s="5" customFormat="true" ht="14.25" hidden="false" customHeight="true" outlineLevel="0" collapsed="false">
      <c r="A18" s="5" t="s">
        <v>136</v>
      </c>
      <c r="B18" s="22" t="s">
        <v>64</v>
      </c>
      <c r="C18" s="6" t="n">
        <v>721288.649117997</v>
      </c>
      <c r="D18" s="6" t="n">
        <v>473060.744258429</v>
      </c>
      <c r="E18" s="6" t="n">
        <v>1034497.51974075</v>
      </c>
      <c r="F18" s="6" t="n">
        <v>652652.644395988</v>
      </c>
      <c r="G18" s="6" t="n">
        <v>429560.706260133</v>
      </c>
      <c r="H18" s="6" t="n">
        <v>930772.873555324</v>
      </c>
      <c r="I18" s="6" t="n">
        <v>24066.5127760112</v>
      </c>
      <c r="J18" s="6" t="n">
        <v>9381.0516149518</v>
      </c>
      <c r="K18" s="6" t="n">
        <v>57171.0630583625</v>
      </c>
      <c r="L18" s="6" t="n">
        <v>21745.269713896</v>
      </c>
      <c r="M18" s="6" t="n">
        <v>8368.20562383915</v>
      </c>
      <c r="N18" s="6" t="n">
        <v>52120.0849729858</v>
      </c>
      <c r="O18" s="6" t="n">
        <f aca="false">S18*O32</f>
        <v>479243225.746333</v>
      </c>
      <c r="P18" s="6" t="n">
        <f aca="false">S18*P32</f>
        <v>409472655.733465</v>
      </c>
      <c r="Q18" s="6" t="n">
        <f aca="false">S18*Q32</f>
        <v>570867597.78613</v>
      </c>
      <c r="R18" s="20" t="n">
        <f aca="false">O18/C18</f>
        <v>664.426407281411</v>
      </c>
      <c r="S18" s="6" t="n">
        <f aca="false">C18/MAX(C32,C18+C19+C20+C21)</f>
        <v>0.279255797786113</v>
      </c>
      <c r="T18" s="5" t="s">
        <v>95</v>
      </c>
      <c r="U18" s="5" t="s">
        <v>96</v>
      </c>
    </row>
    <row r="19" s="5" customFormat="true" ht="14.25" hidden="false" customHeight="true" outlineLevel="0" collapsed="false">
      <c r="A19" s="5" t="s">
        <v>136</v>
      </c>
      <c r="B19" s="22" t="s">
        <v>128</v>
      </c>
      <c r="C19" s="6" t="n">
        <v>221721.827177783</v>
      </c>
      <c r="D19" s="6" t="n">
        <v>153238.059581131</v>
      </c>
      <c r="E19" s="6" t="n">
        <v>298941.760028066</v>
      </c>
      <c r="F19" s="6" t="n">
        <v>215607.176154878</v>
      </c>
      <c r="G19" s="6" t="n">
        <v>141437.613085138</v>
      </c>
      <c r="H19" s="6" t="n">
        <v>299508.195414639</v>
      </c>
      <c r="I19" s="6" t="n">
        <v>7348.0042192518</v>
      </c>
      <c r="J19" s="6" t="n">
        <v>3037.36315830837</v>
      </c>
      <c r="K19" s="6" t="n">
        <v>16771.3261813476</v>
      </c>
      <c r="L19" s="6" t="n">
        <v>7129.48749021335</v>
      </c>
      <c r="M19" s="6" t="n">
        <v>2890.87868520855</v>
      </c>
      <c r="N19" s="6" t="n">
        <v>16450.9033265069</v>
      </c>
      <c r="O19" s="6" t="n">
        <f aca="false">S19*O32</f>
        <v>147317837.047604</v>
      </c>
      <c r="P19" s="6" t="n">
        <f aca="false">S19*P32</f>
        <v>125870586.650131</v>
      </c>
      <c r="Q19" s="6" t="n">
        <f aca="false">S19*Q32</f>
        <v>175482876.394227</v>
      </c>
      <c r="R19" s="20" t="n">
        <f aca="false">O19/C19</f>
        <v>664.426407281411</v>
      </c>
      <c r="S19" s="6" t="n">
        <f aca="false">C19/MAX(C32,C18+C19+C20+C21)</f>
        <v>0.0858423403873604</v>
      </c>
      <c r="T19" s="5" t="s">
        <v>95</v>
      </c>
      <c r="U19" s="5" t="s">
        <v>96</v>
      </c>
    </row>
    <row r="20" s="5" customFormat="true" ht="14.25" hidden="false" customHeight="true" outlineLevel="0" collapsed="false">
      <c r="A20" s="5" t="s">
        <v>136</v>
      </c>
      <c r="B20" s="22" t="s">
        <v>129</v>
      </c>
      <c r="C20" s="6" t="n">
        <v>1415207.45861997</v>
      </c>
      <c r="D20" s="6" t="n">
        <v>1147272.20458816</v>
      </c>
      <c r="E20" s="6" t="n">
        <v>1710739.44090581</v>
      </c>
      <c r="F20" s="6" t="n">
        <v>1367677.80499872</v>
      </c>
      <c r="G20" s="6" t="n">
        <v>1088530.36299896</v>
      </c>
      <c r="H20" s="6" t="n">
        <v>1676893.65359351</v>
      </c>
      <c r="I20" s="6" t="n">
        <v>47134.5825352258</v>
      </c>
      <c r="J20" s="6" t="n">
        <v>23103.7626483388</v>
      </c>
      <c r="K20" s="6" t="n">
        <v>98047.5421421481</v>
      </c>
      <c r="L20" s="6" t="n">
        <v>45398.0031778545</v>
      </c>
      <c r="M20" s="6" t="n">
        <v>21991.2999780312</v>
      </c>
      <c r="N20" s="6" t="n">
        <v>95307.4267193135</v>
      </c>
      <c r="O20" s="6" t="n">
        <f aca="false">S20*O32</f>
        <v>940301207.288723</v>
      </c>
      <c r="P20" s="6" t="n">
        <f aca="false">S20*P32</f>
        <v>803407563.953119</v>
      </c>
      <c r="Q20" s="6" t="n">
        <f aca="false">S20*Q32</f>
        <v>1120073195.7439</v>
      </c>
      <c r="R20" s="20" t="n">
        <f aca="false">O20/C20</f>
        <v>664.426407281411</v>
      </c>
      <c r="S20" s="6" t="n">
        <f aca="false">C20/MAX(C32,C18+C19+C20+C21)</f>
        <v>0.547915024550906</v>
      </c>
      <c r="T20" s="5" t="s">
        <v>95</v>
      </c>
      <c r="U20" s="5" t="s">
        <v>96</v>
      </c>
    </row>
    <row r="21" s="5" customFormat="true" ht="14.25" hidden="false" customHeight="true" outlineLevel="0" collapsed="false">
      <c r="A21" s="5" t="s">
        <v>136</v>
      </c>
      <c r="B21" s="22" t="s">
        <v>130</v>
      </c>
      <c r="C21" s="6" t="n">
        <v>224677.943473299</v>
      </c>
      <c r="D21" s="6" t="n">
        <v>179792.885183469</v>
      </c>
      <c r="E21" s="6" t="n">
        <v>279767.393030811</v>
      </c>
      <c r="F21" s="6" t="n">
        <v>215550.089504652</v>
      </c>
      <c r="G21" s="6" t="n">
        <v>172083.171628371</v>
      </c>
      <c r="H21" s="6" t="n">
        <v>267892.599537672</v>
      </c>
      <c r="I21" s="6" t="n">
        <v>7493.93051708015</v>
      </c>
      <c r="J21" s="6" t="n">
        <v>3424.95591145538</v>
      </c>
      <c r="K21" s="6" t="n">
        <v>15853.88415167</v>
      </c>
      <c r="L21" s="6" t="n">
        <v>7149.83753006692</v>
      </c>
      <c r="M21" s="6" t="n">
        <v>3280.74362642222</v>
      </c>
      <c r="N21" s="6" t="n">
        <v>15298.8050713644</v>
      </c>
      <c r="O21" s="6" t="n">
        <f aca="false">S21*O32</f>
        <v>149281958.77734</v>
      </c>
      <c r="P21" s="6" t="n">
        <f aca="false">S21*P32</f>
        <v>127548761.943285</v>
      </c>
      <c r="Q21" s="6" t="n">
        <f aca="false">S21*Q32</f>
        <v>177822509.785743</v>
      </c>
      <c r="R21" s="20" t="n">
        <f aca="false">O21/C21</f>
        <v>664.426407281411</v>
      </c>
      <c r="S21" s="6" t="n">
        <f aca="false">C21/MAX(C32,C18+C19+C20+C21)</f>
        <v>0.0869868372756205</v>
      </c>
      <c r="T21" s="5" t="s">
        <v>95</v>
      </c>
      <c r="U21" s="5" t="s">
        <v>96</v>
      </c>
    </row>
    <row r="22" customFormat="false" ht="14.25" hidden="false" customHeight="true" outlineLevel="0" collapsed="false">
      <c r="A22" s="1" t="s">
        <v>136</v>
      </c>
      <c r="B22" s="17" t="s">
        <v>110</v>
      </c>
      <c r="C22" s="12" t="n">
        <v>3550393.12915174</v>
      </c>
      <c r="D22" s="12" t="n">
        <v>3089196.00969613</v>
      </c>
      <c r="E22" s="12" t="n">
        <v>4008806.30673318</v>
      </c>
      <c r="F22" s="12" t="n">
        <v>3387896.7729018</v>
      </c>
      <c r="G22" s="12" t="n">
        <v>2944158.00314276</v>
      </c>
      <c r="H22" s="12" t="n">
        <v>3849730.20395322</v>
      </c>
      <c r="I22" s="12" t="n">
        <v>306062.324057293</v>
      </c>
      <c r="J22" s="12" t="n">
        <v>209166.147336763</v>
      </c>
      <c r="K22" s="12" t="n">
        <v>415217.065849004</v>
      </c>
      <c r="L22" s="12" t="n">
        <v>290389.812848403</v>
      </c>
      <c r="M22" s="12" t="n">
        <v>198317.343831165</v>
      </c>
      <c r="N22" s="12" t="n">
        <v>399208.518140278</v>
      </c>
      <c r="O22" s="12" t="n">
        <v>7440846399.91</v>
      </c>
      <c r="P22" s="12" t="n">
        <v>6547659487.77</v>
      </c>
      <c r="Q22" s="12" t="n">
        <v>8512961919.96</v>
      </c>
      <c r="R22" s="23" t="n">
        <f aca="false">O22/C22</f>
        <v>2095.7809823409</v>
      </c>
      <c r="S22" s="12"/>
      <c r="T22" s="1" t="s">
        <v>95</v>
      </c>
      <c r="U22" s="1" t="s">
        <v>96</v>
      </c>
    </row>
    <row r="23" s="5" customFormat="true" ht="14.25" hidden="false" customHeight="true" outlineLevel="0" collapsed="false">
      <c r="A23" s="5" t="s">
        <v>136</v>
      </c>
      <c r="B23" s="22" t="s">
        <v>135</v>
      </c>
      <c r="C23" s="6" t="n">
        <v>5554.90190792059</v>
      </c>
      <c r="D23" s="6" t="n">
        <v>4779.41719378725</v>
      </c>
      <c r="E23" s="6" t="n">
        <v>6503.63949609606</v>
      </c>
      <c r="F23" s="6" t="n">
        <v>5570.92774239406</v>
      </c>
      <c r="G23" s="6" t="n">
        <v>4569.81965804924</v>
      </c>
      <c r="H23" s="6" t="n">
        <v>6652.37197764377</v>
      </c>
      <c r="I23" s="6" t="n">
        <v>906.461193695249</v>
      </c>
      <c r="J23" s="6" t="n">
        <v>605.149155617646</v>
      </c>
      <c r="K23" s="6" t="n">
        <v>1297.54029194555</v>
      </c>
      <c r="L23" s="6" t="n">
        <v>910.056357942167</v>
      </c>
      <c r="M23" s="6" t="n">
        <v>607.531076066139</v>
      </c>
      <c r="N23" s="6" t="n">
        <v>1271.44171640867</v>
      </c>
      <c r="O23" s="6" t="n">
        <v>44894011.01</v>
      </c>
      <c r="P23" s="6" t="n">
        <v>37090856.14</v>
      </c>
      <c r="Q23" s="6" t="n">
        <v>54746621.55</v>
      </c>
      <c r="R23" s="20" t="n">
        <f aca="false">O23/C23</f>
        <v>8081.87286727544</v>
      </c>
      <c r="S23" s="6"/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136</v>
      </c>
      <c r="B24" s="22" t="s">
        <v>5</v>
      </c>
      <c r="C24" s="6" t="n">
        <v>334972.72</v>
      </c>
      <c r="D24" s="6" t="n">
        <v>260814.92</v>
      </c>
      <c r="E24" s="6" t="n">
        <v>420357.56</v>
      </c>
      <c r="F24" s="6" t="n">
        <v>242357.32</v>
      </c>
      <c r="G24" s="6" t="n">
        <v>188639.8</v>
      </c>
      <c r="H24" s="6" t="n">
        <v>308692.18</v>
      </c>
      <c r="I24" s="6" t="n">
        <v>12664.66</v>
      </c>
      <c r="J24" s="6" t="n">
        <v>6721.11</v>
      </c>
      <c r="K24" s="6" t="n">
        <v>20283.34</v>
      </c>
      <c r="L24" s="6" t="n">
        <v>9469.03</v>
      </c>
      <c r="M24" s="6" t="n">
        <v>4755.74</v>
      </c>
      <c r="N24" s="6" t="n">
        <v>15265.59</v>
      </c>
      <c r="O24" s="6" t="n">
        <f aca="false">O31*S24</f>
        <v>27714636.8738099</v>
      </c>
      <c r="P24" s="6" t="n">
        <f aca="false">P31*S24</f>
        <v>24263049.4616245</v>
      </c>
      <c r="Q24" s="6" t="n">
        <f aca="false">Q31*S24</f>
        <v>31828220.1886953</v>
      </c>
      <c r="R24" s="20" t="n">
        <f aca="false">O24/C24</f>
        <v>82.7369968330852</v>
      </c>
      <c r="S24" s="6" t="n">
        <f aca="false">C25/C31</f>
        <v>0.0445748874149822</v>
      </c>
      <c r="T24" s="5" t="s">
        <v>95</v>
      </c>
      <c r="U24" s="5" t="s">
        <v>96</v>
      </c>
    </row>
    <row r="25" s="5" customFormat="true" ht="14.25" hidden="false" customHeight="true" outlineLevel="0" collapsed="false">
      <c r="A25" s="5" t="s">
        <v>136</v>
      </c>
      <c r="B25" s="22" t="s">
        <v>114</v>
      </c>
      <c r="C25" s="6" t="n">
        <v>93416.8873475553</v>
      </c>
      <c r="D25" s="6" t="n">
        <v>77867.4765537355</v>
      </c>
      <c r="E25" s="6" t="n">
        <v>109960.137981376</v>
      </c>
      <c r="F25" s="6" t="n">
        <v>89659.2413657553</v>
      </c>
      <c r="G25" s="6" t="n">
        <v>74835.1559537672</v>
      </c>
      <c r="H25" s="6" t="n">
        <v>105879.762662868</v>
      </c>
      <c r="I25" s="6" t="n">
        <v>12449.0533940631</v>
      </c>
      <c r="J25" s="6" t="n">
        <v>8178.6757059499</v>
      </c>
      <c r="K25" s="6" t="n">
        <v>17219.8028611763</v>
      </c>
      <c r="L25" s="6" t="n">
        <v>11951.398895564</v>
      </c>
      <c r="M25" s="6" t="n">
        <v>7981.07075333183</v>
      </c>
      <c r="N25" s="6" t="n">
        <v>16988.2101471976</v>
      </c>
      <c r="O25" s="6" t="n">
        <v>1100674540.07</v>
      </c>
      <c r="P25" s="6" t="n">
        <v>960921923.69</v>
      </c>
      <c r="Q25" s="6" t="n">
        <v>1289117953.26</v>
      </c>
      <c r="R25" s="20" t="n">
        <f aca="false">O25/C25</f>
        <v>11782.3936476814</v>
      </c>
      <c r="S25" s="6"/>
      <c r="T25" s="5" t="s">
        <v>95</v>
      </c>
      <c r="U25" s="5" t="s">
        <v>96</v>
      </c>
    </row>
    <row r="26" s="5" customFormat="true" ht="14.25" hidden="false" customHeight="true" outlineLevel="0" collapsed="false">
      <c r="A26" s="5" t="s">
        <v>136</v>
      </c>
      <c r="B26" s="22" t="s">
        <v>106</v>
      </c>
      <c r="C26" s="6" t="n">
        <v>6963.85</v>
      </c>
      <c r="D26" s="6" t="n">
        <v>5216.86</v>
      </c>
      <c r="E26" s="6" t="n">
        <v>9121.41</v>
      </c>
      <c r="F26" s="6" t="n">
        <v>6981.3</v>
      </c>
      <c r="G26" s="6" t="n">
        <v>5226.69</v>
      </c>
      <c r="H26" s="6" t="n">
        <v>8902.27</v>
      </c>
      <c r="I26" s="6" t="n">
        <v>660.08</v>
      </c>
      <c r="J26" s="6" t="n">
        <v>425.67</v>
      </c>
      <c r="K26" s="6" t="n">
        <v>958.2</v>
      </c>
      <c r="L26" s="6" t="n">
        <v>663.32</v>
      </c>
      <c r="M26" s="6" t="n">
        <v>415.16</v>
      </c>
      <c r="N26" s="6" t="n">
        <v>1011.07</v>
      </c>
      <c r="O26" s="6" t="n">
        <v>87256628.56</v>
      </c>
      <c r="P26" s="6" t="n">
        <v>73705575.34</v>
      </c>
      <c r="Q26" s="6" t="n">
        <v>103515031.68</v>
      </c>
      <c r="R26" s="20" t="n">
        <f aca="false">O26/C26</f>
        <v>12529.9408459401</v>
      </c>
      <c r="S26" s="6"/>
      <c r="T26" s="5" t="s">
        <v>95</v>
      </c>
      <c r="U26" s="5" t="s">
        <v>96</v>
      </c>
    </row>
    <row r="27" s="5" customFormat="true" ht="14.25" hidden="false" customHeight="true" outlineLevel="0" collapsed="false">
      <c r="A27" s="5" t="s">
        <v>136</v>
      </c>
      <c r="B27" s="22" t="s">
        <v>41</v>
      </c>
      <c r="C27" s="6" t="n">
        <v>360546.381693405</v>
      </c>
      <c r="D27" s="6" t="n">
        <v>328644.388507979</v>
      </c>
      <c r="E27" s="6" t="n">
        <v>396010.519179701</v>
      </c>
      <c r="F27" s="6" t="n">
        <v>352554.785688859</v>
      </c>
      <c r="G27" s="6" t="n">
        <v>315517.089193263</v>
      </c>
      <c r="H27" s="6" t="n">
        <v>393096.178181074</v>
      </c>
      <c r="I27" s="6" t="n">
        <v>46122.9394411717</v>
      </c>
      <c r="J27" s="6" t="n">
        <v>33520.8973748881</v>
      </c>
      <c r="K27" s="6" t="n">
        <v>60327.7771683916</v>
      </c>
      <c r="L27" s="6" t="n">
        <v>44726.2255152908</v>
      </c>
      <c r="M27" s="6" t="n">
        <v>32084.3267092779</v>
      </c>
      <c r="N27" s="6" t="n">
        <v>58326.6023873647</v>
      </c>
      <c r="O27" s="6" t="n">
        <v>1771069715.2</v>
      </c>
      <c r="P27" s="6" t="n">
        <v>1533973920.76</v>
      </c>
      <c r="Q27" s="6" t="n">
        <v>2033071653.8</v>
      </c>
      <c r="R27" s="20" t="n">
        <f aca="false">O27/C27</f>
        <v>4912.18274575849</v>
      </c>
      <c r="S27" s="6"/>
      <c r="T27" s="5" t="s">
        <v>95</v>
      </c>
      <c r="U27" s="5" t="s">
        <v>96</v>
      </c>
    </row>
    <row r="29" s="5" customFormat="true" ht="14.25" hidden="false" customHeight="true" outlineLevel="0" collapsed="false">
      <c r="B29" s="22" t="s">
        <v>107</v>
      </c>
      <c r="C29" s="6" t="n">
        <v>97151.91</v>
      </c>
      <c r="D29" s="6" t="n">
        <v>86827.4</v>
      </c>
      <c r="E29" s="6" t="n">
        <v>109202.01</v>
      </c>
      <c r="F29" s="6" t="n">
        <v>93187.41</v>
      </c>
      <c r="G29" s="6" t="n">
        <v>81189.91</v>
      </c>
      <c r="H29" s="6" t="n">
        <v>105722.54</v>
      </c>
      <c r="I29" s="6" t="n">
        <v>9992.16</v>
      </c>
      <c r="J29" s="6" t="n">
        <v>6856.91</v>
      </c>
      <c r="K29" s="6" t="n">
        <v>13733.87</v>
      </c>
      <c r="L29" s="6" t="n">
        <v>9524.77</v>
      </c>
      <c r="M29" s="6" t="n">
        <v>6659.66</v>
      </c>
      <c r="N29" s="6" t="n">
        <v>12982.25</v>
      </c>
      <c r="O29" s="6" t="n">
        <v>168650398.69</v>
      </c>
      <c r="P29" s="6" t="n">
        <v>143967083.63</v>
      </c>
      <c r="Q29" s="6" t="n">
        <v>197855338.87</v>
      </c>
      <c r="R29" s="6"/>
      <c r="S29" s="6"/>
    </row>
    <row r="30" s="5" customFormat="true" ht="14.25" hidden="false" customHeight="true" outlineLevel="0" collapsed="false">
      <c r="B30" s="22" t="s">
        <v>109</v>
      </c>
      <c r="C30" s="6" t="n">
        <v>8654452.01636718</v>
      </c>
      <c r="D30" s="6" t="n">
        <v>8166680.20746722</v>
      </c>
      <c r="E30" s="6" t="n">
        <v>9289861.50980139</v>
      </c>
      <c r="F30" s="6" t="n">
        <v>8174721.73221783</v>
      </c>
      <c r="G30" s="6" t="n">
        <v>7738393.13600844</v>
      </c>
      <c r="H30" s="6" t="n">
        <v>8774145.24449414</v>
      </c>
      <c r="I30" s="6" t="n">
        <v>386193.980151641</v>
      </c>
      <c r="J30" s="6" t="n">
        <v>275650.115976351</v>
      </c>
      <c r="K30" s="6" t="n">
        <v>547886.400409195</v>
      </c>
      <c r="L30" s="6" t="n">
        <v>361022.046362597</v>
      </c>
      <c r="M30" s="6" t="n">
        <v>259106.64759933</v>
      </c>
      <c r="N30" s="6" t="n">
        <v>510500.01812985</v>
      </c>
      <c r="O30" s="6" t="n">
        <f aca="false">O7+O17</f>
        <v>2733779881.34</v>
      </c>
      <c r="P30" s="6" t="n">
        <f aca="false">P7+P17</f>
        <v>2381302141.43</v>
      </c>
      <c r="Q30" s="6" t="n">
        <f aca="false">Q7+Q17</f>
        <v>3104917381.63</v>
      </c>
      <c r="R30" s="6"/>
      <c r="S30" s="6"/>
    </row>
    <row r="31" s="5" customFormat="true" ht="14.25" hidden="false" customHeight="true" outlineLevel="0" collapsed="false">
      <c r="B31" s="22" t="s">
        <v>108</v>
      </c>
      <c r="C31" s="6" t="n">
        <v>2095729.07</v>
      </c>
      <c r="D31" s="6" t="n">
        <v>1534360.88</v>
      </c>
      <c r="E31" s="6" t="n">
        <v>2937546.06</v>
      </c>
      <c r="F31" s="6" t="n">
        <v>1880515.9</v>
      </c>
      <c r="G31" s="6" t="n">
        <v>1257487.36</v>
      </c>
      <c r="H31" s="6" t="n">
        <v>2752599.16</v>
      </c>
      <c r="I31" s="6" t="n">
        <v>48257.47</v>
      </c>
      <c r="J31" s="6" t="n">
        <v>28677.47</v>
      </c>
      <c r="K31" s="6" t="n">
        <v>80834.08</v>
      </c>
      <c r="L31" s="6" t="n">
        <v>41356.18</v>
      </c>
      <c r="M31" s="6" t="n">
        <v>22633.98</v>
      </c>
      <c r="N31" s="6" t="n">
        <v>72403.11</v>
      </c>
      <c r="O31" s="6" t="n">
        <v>621754500.82</v>
      </c>
      <c r="P31" s="6" t="n">
        <v>544321048.66</v>
      </c>
      <c r="Q31" s="6" t="n">
        <v>714039272.66</v>
      </c>
      <c r="R31" s="6"/>
      <c r="S31" s="6"/>
    </row>
    <row r="32" s="5" customFormat="true" ht="14.25" hidden="false" customHeight="true" outlineLevel="0" collapsed="false">
      <c r="B32" s="22" t="s">
        <v>131</v>
      </c>
      <c r="C32" s="6" t="n">
        <v>2484918.7564747</v>
      </c>
      <c r="D32" s="6" t="n">
        <v>2122938.72866158</v>
      </c>
      <c r="E32" s="6" t="n">
        <v>2874428.29053751</v>
      </c>
      <c r="F32" s="6" t="n">
        <v>2360194.11846591</v>
      </c>
      <c r="G32" s="6" t="n">
        <v>1999914.24315784</v>
      </c>
      <c r="H32" s="6" t="n">
        <v>2714850.38423366</v>
      </c>
      <c r="I32" s="6" t="n">
        <v>86043.030047569</v>
      </c>
      <c r="J32" s="6" t="n">
        <v>39493.0356682357</v>
      </c>
      <c r="K32" s="6" t="n">
        <v>188709.443149482</v>
      </c>
      <c r="L32" s="6" t="n">
        <v>81422.5979120308</v>
      </c>
      <c r="M32" s="6" t="n">
        <v>37677.4928199954</v>
      </c>
      <c r="N32" s="6" t="n">
        <v>178965.088813221</v>
      </c>
      <c r="O32" s="6" t="n">
        <v>1716144228.86</v>
      </c>
      <c r="P32" s="6" t="n">
        <v>1466299568.28</v>
      </c>
      <c r="Q32" s="6" t="n">
        <v>2044246179.71</v>
      </c>
      <c r="R32" s="20" t="n">
        <f aca="false">O32/C32</f>
        <v>690.623878301219</v>
      </c>
      <c r="S32" s="6"/>
      <c r="T32" s="5" t="s">
        <v>95</v>
      </c>
      <c r="U32" s="5" t="s">
        <v>96</v>
      </c>
    </row>
    <row r="34" customFormat="false" ht="14.25" hidden="false" customHeight="true" outlineLevel="0" collapsed="false">
      <c r="C34" s="1" t="s">
        <v>125</v>
      </c>
      <c r="D34" s="1" t="n">
        <f aca="false">C7/C30</f>
        <v>0.453297038640965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8.88"/>
    <col collapsed="false" customWidth="true" hidden="false" outlineLevel="0" max="3" min="3" style="1" width="12.22"/>
    <col collapsed="false" customWidth="true" hidden="false" outlineLevel="0" max="4" min="4" style="1" width="11.11"/>
    <col collapsed="false" customWidth="true" hidden="false" outlineLevel="0" max="5" min="5" style="1" width="16.77"/>
    <col collapsed="false" customWidth="true" hidden="false" outlineLevel="0" max="6" min="6" style="1" width="16.56"/>
    <col collapsed="false" customWidth="true" hidden="false" outlineLevel="0" max="7" min="7" style="1" width="12.22"/>
    <col collapsed="false" customWidth="true" hidden="false" outlineLevel="0" max="8" min="8" style="1" width="11.11"/>
    <col collapsed="false" customWidth="true" hidden="false" outlineLevel="0" max="14" min="9" style="1" width="8.88"/>
    <col collapsed="false" customWidth="true" hidden="false" outlineLevel="0" max="15" min="15" style="1" width="14.67"/>
    <col collapsed="false" customWidth="true" hidden="false" outlineLevel="0" max="16" min="16" style="1" width="14.56"/>
    <col collapsed="false" customWidth="true" hidden="false" outlineLevel="0" max="17" min="17" style="1" width="20.56"/>
    <col collapsed="false" customWidth="true" hidden="false" outlineLevel="0" max="18" min="18" style="1" width="16.22"/>
  </cols>
  <sheetData>
    <row r="1" s="17" customFormat="true" ht="14.25" hidden="false" customHeight="true" outlineLevel="0" collapsed="false">
      <c r="A1" s="18" t="s">
        <v>72</v>
      </c>
      <c r="B1" s="18" t="s">
        <v>73</v>
      </c>
      <c r="C1" s="18" t="s">
        <v>74</v>
      </c>
      <c r="D1" s="18" t="s">
        <v>75</v>
      </c>
      <c r="E1" s="18" t="s">
        <v>76</v>
      </c>
      <c r="F1" s="18" t="s">
        <v>77</v>
      </c>
      <c r="G1" s="18" t="s">
        <v>78</v>
      </c>
      <c r="H1" s="18" t="s">
        <v>79</v>
      </c>
      <c r="I1" s="18" t="s">
        <v>80</v>
      </c>
      <c r="J1" s="18" t="s">
        <v>81</v>
      </c>
      <c r="K1" s="18" t="s">
        <v>82</v>
      </c>
      <c r="L1" s="18" t="s">
        <v>83</v>
      </c>
      <c r="M1" s="18" t="s">
        <v>84</v>
      </c>
      <c r="N1" s="18" t="s">
        <v>85</v>
      </c>
      <c r="O1" s="18" t="s">
        <v>86</v>
      </c>
      <c r="P1" s="18" t="s">
        <v>87</v>
      </c>
      <c r="Q1" s="18" t="s">
        <v>88</v>
      </c>
      <c r="R1" s="18" t="s">
        <v>89</v>
      </c>
      <c r="S1" s="18" t="s">
        <v>90</v>
      </c>
      <c r="T1" s="18" t="s">
        <v>91</v>
      </c>
      <c r="U1" s="18" t="s">
        <v>92</v>
      </c>
    </row>
    <row r="2" s="5" customFormat="true" ht="14.25" hidden="false" customHeight="true" outlineLevel="0" collapsed="false">
      <c r="A2" s="5" t="s">
        <v>137</v>
      </c>
      <c r="B2" s="5" t="s">
        <v>19</v>
      </c>
      <c r="C2" s="5" t="n">
        <v>82565.925159092</v>
      </c>
      <c r="D2" s="5" t="n">
        <v>60952.2081697903</v>
      </c>
      <c r="E2" s="5" t="n">
        <v>107419.318824518</v>
      </c>
      <c r="F2" s="5" t="n">
        <v>80411.0928426722</v>
      </c>
      <c r="G2" s="5" t="n">
        <v>59300.9564742053</v>
      </c>
      <c r="H2" s="5" t="n">
        <v>106099.68432495</v>
      </c>
      <c r="I2" s="5" t="n">
        <v>14860.9529517796</v>
      </c>
      <c r="J2" s="5" t="n">
        <v>9418.5898672672</v>
      </c>
      <c r="K2" s="5" t="n">
        <v>22815.0509353568</v>
      </c>
      <c r="L2" s="5" t="n">
        <v>14438.0364607781</v>
      </c>
      <c r="M2" s="5" t="n">
        <v>8899.7641848949</v>
      </c>
      <c r="N2" s="5" t="n">
        <v>21927.9611905922</v>
      </c>
      <c r="O2" s="5" t="n">
        <v>440048879.15</v>
      </c>
      <c r="P2" s="5" t="n">
        <v>392429059.81</v>
      </c>
      <c r="Q2" s="5" t="n">
        <v>496292500.35</v>
      </c>
      <c r="R2" s="5" t="n">
        <f aca="false">O2/C2</f>
        <v>5329.66690922548</v>
      </c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137</v>
      </c>
      <c r="B3" s="5" t="s">
        <v>94</v>
      </c>
      <c r="C3" s="5" t="n">
        <v>6442.92796680471</v>
      </c>
      <c r="D3" s="5" t="n">
        <v>4314.23622080018</v>
      </c>
      <c r="E3" s="5" t="n">
        <v>9362.7555123208</v>
      </c>
      <c r="F3" s="5" t="n">
        <v>6441.77840056238</v>
      </c>
      <c r="G3" s="5" t="n">
        <v>4183.59527228377</v>
      </c>
      <c r="H3" s="5" t="n">
        <v>9764.22817928328</v>
      </c>
      <c r="I3" s="5" t="n">
        <v>802.83325549005</v>
      </c>
      <c r="J3" s="5" t="n">
        <v>520.095849128687</v>
      </c>
      <c r="K3" s="5" t="n">
        <v>1189.1630889015</v>
      </c>
      <c r="L3" s="5" t="n">
        <v>795.608312967723</v>
      </c>
      <c r="M3" s="5" t="n">
        <v>513.120080758488</v>
      </c>
      <c r="N3" s="5" t="n">
        <v>1172.2682602905</v>
      </c>
      <c r="O3" s="5" t="n">
        <v>622701251.6</v>
      </c>
      <c r="P3" s="5" t="n">
        <v>542562488.62</v>
      </c>
      <c r="Q3" s="5" t="n">
        <v>705884121.56</v>
      </c>
      <c r="R3" s="5" t="n">
        <f aca="false">O3/C3</f>
        <v>96648.799242873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137</v>
      </c>
      <c r="B4" s="5" t="s">
        <v>97</v>
      </c>
      <c r="C4" s="5" t="n">
        <v>32496.3433053568</v>
      </c>
      <c r="D4" s="5" t="n">
        <v>26517.9635212555</v>
      </c>
      <c r="E4" s="5" t="n">
        <v>39457.6858575006</v>
      </c>
      <c r="F4" s="5" t="n">
        <v>31787.5793708629</v>
      </c>
      <c r="G4" s="5" t="n">
        <v>25299.6036829577</v>
      </c>
      <c r="H4" s="5" t="n">
        <v>39971.3754076981</v>
      </c>
      <c r="I4" s="5" t="n">
        <v>4691.88050793779</v>
      </c>
      <c r="J4" s="5" t="n">
        <v>2921.11291806776</v>
      </c>
      <c r="K4" s="5" t="n">
        <v>6502.85820120831</v>
      </c>
      <c r="L4" s="5" t="n">
        <v>4596.44896773236</v>
      </c>
      <c r="M4" s="5" t="n">
        <v>2886.41585687755</v>
      </c>
      <c r="N4" s="5" t="n">
        <v>6541.94248108873</v>
      </c>
      <c r="O4" s="5" t="n">
        <f aca="false">S4*O27</f>
        <v>58849088.2099847</v>
      </c>
      <c r="P4" s="5" t="n">
        <f aca="false">S4*P27</f>
        <v>50141192.2475755</v>
      </c>
      <c r="Q4" s="5" t="n">
        <f aca="false">S4*Q27</f>
        <v>67625112.6374306</v>
      </c>
      <c r="R4" s="5" t="n">
        <f aca="false">O4/C4</f>
        <v>1810.9449317728</v>
      </c>
      <c r="S4" s="5" t="n">
        <f aca="false">C4/C27</f>
        <v>0.361085085056293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137</v>
      </c>
      <c r="B5" s="5" t="s">
        <v>119</v>
      </c>
      <c r="C5" s="5" t="n">
        <v>100887.109653178</v>
      </c>
      <c r="D5" s="5" t="n">
        <v>81896.7715781309</v>
      </c>
      <c r="E5" s="5" t="n">
        <v>126654.968617048</v>
      </c>
      <c r="F5" s="5" t="n">
        <v>101491.626001276</v>
      </c>
      <c r="G5" s="5" t="n">
        <v>80856.7004357567</v>
      </c>
      <c r="H5" s="5" t="n">
        <v>122364.119161362</v>
      </c>
      <c r="I5" s="5" t="n">
        <v>7224.51600278212</v>
      </c>
      <c r="J5" s="5" t="n">
        <v>4734.41282095809</v>
      </c>
      <c r="K5" s="5" t="n">
        <v>10313.4627800029</v>
      </c>
      <c r="L5" s="5" t="n">
        <v>7262.28028593072</v>
      </c>
      <c r="M5" s="5" t="n">
        <v>4782.24788519284</v>
      </c>
      <c r="N5" s="5" t="n">
        <v>10267.9243005929</v>
      </c>
      <c r="O5" s="5" t="n">
        <v>810095827.31</v>
      </c>
      <c r="P5" s="5" t="n">
        <v>701139903.49</v>
      </c>
      <c r="Q5" s="5" t="n">
        <v>924707839.45</v>
      </c>
      <c r="R5" s="5" t="n">
        <f aca="false">O5/C5</f>
        <v>8029.72580040092</v>
      </c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137</v>
      </c>
      <c r="B6" s="5" t="s">
        <v>122</v>
      </c>
      <c r="C6" s="5" t="n">
        <v>2999593.04479951</v>
      </c>
      <c r="D6" s="5" t="n">
        <v>2709033.5985616</v>
      </c>
      <c r="E6" s="5" t="n">
        <v>3272631.86212601</v>
      </c>
      <c r="F6" s="5" t="n">
        <v>3288121.33067913</v>
      </c>
      <c r="G6" s="5" t="n">
        <v>2946116.37524435</v>
      </c>
      <c r="H6" s="5" t="n">
        <v>3638235.83043369</v>
      </c>
      <c r="I6" s="5" t="n">
        <v>214028.307367381</v>
      </c>
      <c r="J6" s="5" t="n">
        <v>155155.512994384</v>
      </c>
      <c r="K6" s="5" t="n">
        <v>297409.221270068</v>
      </c>
      <c r="L6" s="5" t="n">
        <v>233968.48044884</v>
      </c>
      <c r="M6" s="5" t="n">
        <v>167601.447031074</v>
      </c>
      <c r="N6" s="5" t="n">
        <v>325159.787092032</v>
      </c>
      <c r="O6" s="5" t="n">
        <v>32523656909.31</v>
      </c>
      <c r="P6" s="5" t="n">
        <v>27663849106.74</v>
      </c>
      <c r="Q6" s="5" t="n">
        <v>37596581418.3</v>
      </c>
      <c r="R6" s="5" t="n">
        <f aca="false">O6/C6</f>
        <v>10842.6897994371</v>
      </c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137</v>
      </c>
      <c r="B7" s="5" t="s">
        <v>26</v>
      </c>
      <c r="C7" s="5" t="n">
        <v>6435881.30577817</v>
      </c>
      <c r="D7" s="5" t="n">
        <v>5419615.5237778</v>
      </c>
      <c r="E7" s="5" t="n">
        <v>7782038.78852864</v>
      </c>
      <c r="F7" s="5" t="n">
        <v>6197441.23367466</v>
      </c>
      <c r="G7" s="5" t="n">
        <v>5219764.34712964</v>
      </c>
      <c r="H7" s="5" t="n">
        <v>7497709.23853935</v>
      </c>
      <c r="I7" s="5" t="n">
        <v>297544.797096213</v>
      </c>
      <c r="J7" s="5" t="n">
        <v>208101.629736341</v>
      </c>
      <c r="K7" s="5" t="n">
        <v>411194.155149674</v>
      </c>
      <c r="L7" s="5" t="n">
        <v>283294.908173298</v>
      </c>
      <c r="M7" s="5" t="n">
        <v>197955.630345261</v>
      </c>
      <c r="N7" s="5" t="n">
        <v>391467.625485073</v>
      </c>
      <c r="O7" s="5" t="n">
        <v>1618998974.76</v>
      </c>
      <c r="P7" s="5" t="n">
        <v>1431173360.99</v>
      </c>
      <c r="Q7" s="5" t="n">
        <v>1825500493.11</v>
      </c>
      <c r="R7" s="5" t="n">
        <f aca="false">O7/C7</f>
        <v>251.558240097817</v>
      </c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137</v>
      </c>
      <c r="B8" s="5" t="s">
        <v>9</v>
      </c>
      <c r="C8" s="5" t="n">
        <v>747029.120047239</v>
      </c>
      <c r="D8" s="5" t="n">
        <v>545888.168680064</v>
      </c>
      <c r="E8" s="5" t="n">
        <v>971141.201876012</v>
      </c>
      <c r="F8" s="5" t="n">
        <v>692555.828627445</v>
      </c>
      <c r="G8" s="5" t="n">
        <v>454574.106337372</v>
      </c>
      <c r="H8" s="5" t="n">
        <v>975777.621791713</v>
      </c>
      <c r="I8" s="5" t="n">
        <v>23448.434662016</v>
      </c>
      <c r="J8" s="5" t="n">
        <v>14676.8841695161</v>
      </c>
      <c r="K8" s="5" t="n">
        <v>34379.542290655</v>
      </c>
      <c r="L8" s="5" t="n">
        <v>21636.4370151775</v>
      </c>
      <c r="M8" s="5" t="n">
        <v>12773.2071159571</v>
      </c>
      <c r="N8" s="5" t="n">
        <v>33594.4757167977</v>
      </c>
      <c r="O8" s="5" t="n">
        <v>139913755.93</v>
      </c>
      <c r="P8" s="5" t="n">
        <v>117175185.39</v>
      </c>
      <c r="Q8" s="5" t="n">
        <v>164534293.83</v>
      </c>
      <c r="R8" s="5" t="n">
        <f aca="false">O8/C8</f>
        <v>187.293576883793</v>
      </c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137</v>
      </c>
      <c r="B9" s="5" t="s">
        <v>22</v>
      </c>
      <c r="C9" s="5" t="n">
        <v>7279846.80020854</v>
      </c>
      <c r="D9" s="25" t="n">
        <v>6948503.55877545</v>
      </c>
      <c r="E9" s="25" t="n">
        <v>7611190.04164162</v>
      </c>
      <c r="F9" s="5" t="n">
        <v>7045236.14830344</v>
      </c>
      <c r="G9" s="25" t="n">
        <v>6781305.9681841</v>
      </c>
      <c r="H9" s="25" t="n">
        <v>7309166.32842278</v>
      </c>
      <c r="I9" s="5" t="n">
        <f aca="false">I28-I7</f>
        <v>232492.077668969</v>
      </c>
      <c r="J9" s="5" t="n">
        <f aca="false">J28-J7</f>
        <v>165163.436552257</v>
      </c>
      <c r="K9" s="5" t="n">
        <f aca="false">K28-K7</f>
        <v>338318.396297438</v>
      </c>
      <c r="L9" s="5" t="n">
        <f aca="false">L28-L7</f>
        <v>225035.326007991</v>
      </c>
      <c r="M9" s="5" t="n">
        <f aca="false">M28-M7</f>
        <v>161256.558329056</v>
      </c>
      <c r="N9" s="5" t="n">
        <f aca="false">N28-N7</f>
        <v>323513.874118488</v>
      </c>
      <c r="O9" s="5" t="n">
        <v>1481369370.2</v>
      </c>
      <c r="P9" s="5" t="n">
        <v>1298584799.82</v>
      </c>
      <c r="Q9" s="5" t="n">
        <v>1694393921.22</v>
      </c>
      <c r="R9" s="5" t="n">
        <f aca="false">O9/C9</f>
        <v>203.489085808449</v>
      </c>
    </row>
    <row r="10" s="5" customFormat="true" ht="14.25" hidden="false" customHeight="true" outlineLevel="0" collapsed="false">
      <c r="A10" s="5" t="s">
        <v>137</v>
      </c>
      <c r="B10" s="5" t="s">
        <v>120</v>
      </c>
      <c r="C10" s="5" t="n">
        <v>3831913.58028844</v>
      </c>
      <c r="D10" s="5" t="n">
        <v>3131021.80038176</v>
      </c>
      <c r="E10" s="5" t="n">
        <v>4631326.132971</v>
      </c>
      <c r="F10" s="5" t="n">
        <v>3777200.90106189</v>
      </c>
      <c r="G10" s="5" t="n">
        <v>3081173.28378409</v>
      </c>
      <c r="H10" s="5" t="n">
        <v>4615495.85417662</v>
      </c>
      <c r="I10" s="5" t="n">
        <v>431248.785224652</v>
      </c>
      <c r="J10" s="5" t="n">
        <v>291953.043530185</v>
      </c>
      <c r="K10" s="5" t="n">
        <v>605025.838454632</v>
      </c>
      <c r="L10" s="5" t="n">
        <v>423024.823201912</v>
      </c>
      <c r="M10" s="5" t="n">
        <v>287771.269024231</v>
      </c>
      <c r="N10" s="5" t="n">
        <v>598780.669016179</v>
      </c>
      <c r="O10" s="5" t="n">
        <v>3764522896.63</v>
      </c>
      <c r="P10" s="5" t="n">
        <v>3209770815.85</v>
      </c>
      <c r="Q10" s="5" t="n">
        <v>4324735610.83</v>
      </c>
      <c r="R10" s="5" t="n">
        <f aca="false">O10/C10</f>
        <v>982.413308064905</v>
      </c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137</v>
      </c>
      <c r="B11" s="5" t="s">
        <v>134</v>
      </c>
      <c r="C11" s="5" t="n">
        <v>312989.82648045</v>
      </c>
      <c r="D11" s="5" t="n">
        <v>244910.428416161</v>
      </c>
      <c r="E11" s="5" t="n">
        <v>399561.813711033</v>
      </c>
      <c r="F11" s="5" t="n">
        <v>298281.018636013</v>
      </c>
      <c r="G11" s="5" t="n">
        <v>208722.60248191</v>
      </c>
      <c r="H11" s="5" t="n">
        <v>421378.032252202</v>
      </c>
      <c r="I11" s="5" t="n">
        <v>253.080940838756</v>
      </c>
      <c r="J11" s="5" t="n">
        <v>123.162663267009</v>
      </c>
      <c r="K11" s="5" t="n">
        <v>520.69864668965</v>
      </c>
      <c r="L11" s="5" t="n">
        <v>239.013837238466</v>
      </c>
      <c r="M11" s="5" t="n">
        <v>121.843019967466</v>
      </c>
      <c r="N11" s="5" t="n">
        <v>504.360063357689</v>
      </c>
      <c r="O11" s="5" t="n">
        <v>454268906.99</v>
      </c>
      <c r="P11" s="5" t="n">
        <v>377057141.96</v>
      </c>
      <c r="Q11" s="5" t="n">
        <v>533622304.87</v>
      </c>
      <c r="R11" s="5" t="n">
        <f aca="false">O11/C11</f>
        <v>1451.385535748</v>
      </c>
    </row>
    <row r="12" s="5" customFormat="true" ht="14.25" hidden="false" customHeight="true" outlineLevel="0" collapsed="false">
      <c r="A12" s="5" t="s">
        <v>137</v>
      </c>
      <c r="B12" s="6" t="s">
        <v>44</v>
      </c>
      <c r="C12" s="5" t="n">
        <v>2385.90554484646</v>
      </c>
      <c r="D12" s="5" t="n">
        <v>1954.70212500664</v>
      </c>
      <c r="E12" s="5" t="n">
        <v>2878.85296666753</v>
      </c>
      <c r="F12" s="5" t="n">
        <v>2422.03129517609</v>
      </c>
      <c r="G12" s="5" t="n">
        <v>1960.2283155482</v>
      </c>
      <c r="H12" s="5" t="n">
        <v>2986.00304693078</v>
      </c>
      <c r="I12" s="5" t="n">
        <v>507.396455184626</v>
      </c>
      <c r="J12" s="5" t="n">
        <v>351.910274428867</v>
      </c>
      <c r="K12" s="5" t="n">
        <v>693.371716596648</v>
      </c>
      <c r="L12" s="5" t="n">
        <v>515.154890250807</v>
      </c>
      <c r="M12" s="5" t="n">
        <v>344.23827982098</v>
      </c>
      <c r="N12" s="5" t="n">
        <v>721.25774286551</v>
      </c>
      <c r="O12" s="5" t="n">
        <v>242807358.15</v>
      </c>
      <c r="P12" s="5" t="n">
        <v>197240420.67</v>
      </c>
      <c r="Q12" s="5" t="n">
        <v>294532289.34</v>
      </c>
      <c r="R12" s="5" t="n">
        <f aca="false">O12/C12</f>
        <v>101767.380806194</v>
      </c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137</v>
      </c>
      <c r="B13" s="5" t="s">
        <v>12</v>
      </c>
      <c r="C13" s="5" t="n">
        <v>49266.2993146469</v>
      </c>
      <c r="D13" s="5" t="n">
        <v>45870.3931620084</v>
      </c>
      <c r="E13" s="5" t="n">
        <v>52810.5018789057</v>
      </c>
      <c r="F13" s="5" t="n">
        <v>49555.3097984259</v>
      </c>
      <c r="G13" s="5" t="n">
        <v>45929.972432668</v>
      </c>
      <c r="H13" s="5" t="n">
        <v>53249.9234468646</v>
      </c>
      <c r="I13" s="5" t="n">
        <v>12189.6356489568</v>
      </c>
      <c r="J13" s="5" t="n">
        <v>8781.94973597086</v>
      </c>
      <c r="K13" s="5" t="n">
        <v>15816.6657105803</v>
      </c>
      <c r="L13" s="5" t="n">
        <v>12196.4377155441</v>
      </c>
      <c r="M13" s="5" t="n">
        <v>8718.9498322674</v>
      </c>
      <c r="N13" s="5" t="n">
        <v>16048.7580147396</v>
      </c>
      <c r="O13" s="5" t="n">
        <v>2452746775.16</v>
      </c>
      <c r="P13" s="5" t="n">
        <v>2080683564.58</v>
      </c>
      <c r="Q13" s="5" t="n">
        <v>2827504587.13</v>
      </c>
      <c r="R13" s="5" t="n">
        <f aca="false">O13/C13</f>
        <v>49785.4884430257</v>
      </c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137</v>
      </c>
      <c r="B14" s="5" t="s">
        <v>113</v>
      </c>
      <c r="C14" s="5" t="n">
        <v>867703.650092365</v>
      </c>
      <c r="D14" s="5" t="n">
        <v>496030.074547378</v>
      </c>
      <c r="E14" s="5" t="n">
        <v>1333224.18478433</v>
      </c>
      <c r="F14" s="5" t="n">
        <v>870661.955483108</v>
      </c>
      <c r="G14" s="5" t="n">
        <v>501406.383894893</v>
      </c>
      <c r="H14" s="5" t="n">
        <v>1373960.65999403</v>
      </c>
      <c r="I14" s="5" t="n">
        <v>85613.2668744021</v>
      </c>
      <c r="J14" s="5" t="n">
        <v>43877.9413057357</v>
      </c>
      <c r="K14" s="5" t="n">
        <v>153978.769177434</v>
      </c>
      <c r="L14" s="5" t="n">
        <v>85580.1877688536</v>
      </c>
      <c r="M14" s="5" t="n">
        <v>43963.3944879952</v>
      </c>
      <c r="N14" s="5" t="n">
        <v>157168.530598447</v>
      </c>
      <c r="O14" s="5" t="n">
        <v>2235141752.15</v>
      </c>
      <c r="P14" s="5" t="n">
        <v>1878629607.02</v>
      </c>
      <c r="Q14" s="5" t="n">
        <v>2613839388.12</v>
      </c>
      <c r="R14" s="5" t="n">
        <f aca="false">O14/C14</f>
        <v>2575.92756687387</v>
      </c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137</v>
      </c>
      <c r="B15" s="5" t="s">
        <v>64</v>
      </c>
      <c r="C15" s="5" t="n">
        <v>1342066.58615864</v>
      </c>
      <c r="D15" s="5" t="n">
        <v>908976.398197134</v>
      </c>
      <c r="E15" s="5" t="n">
        <v>1870513.09720019</v>
      </c>
      <c r="F15" s="5" t="n">
        <v>1243774.82227354</v>
      </c>
      <c r="G15" s="5" t="n">
        <v>842338.253179973</v>
      </c>
      <c r="H15" s="5" t="n">
        <v>1733664.621447</v>
      </c>
      <c r="I15" s="5" t="n">
        <v>44112.6674630765</v>
      </c>
      <c r="J15" s="5" t="n">
        <v>18335.297309058</v>
      </c>
      <c r="K15" s="5" t="n">
        <v>101785.731285137</v>
      </c>
      <c r="L15" s="5" t="n">
        <v>40808.9026050481</v>
      </c>
      <c r="M15" s="5" t="n">
        <v>16896.9487223154</v>
      </c>
      <c r="N15" s="5" t="n">
        <v>95681.1719717636</v>
      </c>
      <c r="O15" s="5" t="n">
        <v>3166935527.09</v>
      </c>
      <c r="P15" s="5" t="n">
        <v>2727198178.01</v>
      </c>
      <c r="Q15" s="5" t="n">
        <v>3607099373.95</v>
      </c>
      <c r="R15" s="5" t="n">
        <f aca="false">O15/C15</f>
        <v>2359.74545507063</v>
      </c>
      <c r="S15" s="5" t="n">
        <f aca="false">C15/MAX(C30,C15+C16+C17+C18)</f>
        <v>0.314539057424996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137</v>
      </c>
      <c r="B16" s="5" t="s">
        <v>128</v>
      </c>
      <c r="C16" s="5" t="n">
        <v>376175.421677718</v>
      </c>
      <c r="D16" s="5" t="n">
        <v>251560.143550655</v>
      </c>
      <c r="E16" s="5" t="n">
        <v>524530.303134608</v>
      </c>
      <c r="F16" s="5" t="n">
        <v>378512.686868842</v>
      </c>
      <c r="G16" s="5" t="n">
        <v>236908.542867294</v>
      </c>
      <c r="H16" s="5" t="n">
        <v>540785.620570422</v>
      </c>
      <c r="I16" s="5" t="n">
        <v>12328.6971167469</v>
      </c>
      <c r="J16" s="5" t="n">
        <v>5129.59487876228</v>
      </c>
      <c r="K16" s="5" t="n">
        <v>27298.8113796957</v>
      </c>
      <c r="L16" s="5" t="n">
        <v>12373.325869463</v>
      </c>
      <c r="M16" s="5" t="n">
        <v>4943.68495087231</v>
      </c>
      <c r="N16" s="5" t="n">
        <v>28206.9533952684</v>
      </c>
      <c r="O16" s="5" t="n">
        <f aca="false">S16*O30</f>
        <v>279209477.413716</v>
      </c>
      <c r="P16" s="5" t="n">
        <f aca="false">S16*P30</f>
        <v>240440505.205198</v>
      </c>
      <c r="Q16" s="5" t="n">
        <f aca="false">S16*Q30</f>
        <v>318016051.34202</v>
      </c>
      <c r="R16" s="5" t="n">
        <f aca="false">O16/C16</f>
        <v>742.232111200832</v>
      </c>
      <c r="S16" s="5" t="n">
        <f aca="false">C16/MAX(C30,C15+C16+C17+C18)</f>
        <v>0.0881639285123916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137</v>
      </c>
      <c r="B17" s="5" t="s">
        <v>129</v>
      </c>
      <c r="C17" s="5" t="n">
        <v>2231544.27390875</v>
      </c>
      <c r="D17" s="5" t="n">
        <v>1757135.45101727</v>
      </c>
      <c r="E17" s="5" t="n">
        <v>2771501.06176058</v>
      </c>
      <c r="F17" s="5" t="n">
        <v>2274459.40239782</v>
      </c>
      <c r="G17" s="5" t="n">
        <v>1765137.78942679</v>
      </c>
      <c r="H17" s="5" t="n">
        <v>2850386.57490806</v>
      </c>
      <c r="I17" s="5" t="n">
        <v>73426.0333164177</v>
      </c>
      <c r="J17" s="5" t="n">
        <v>35376.1993779325</v>
      </c>
      <c r="K17" s="5" t="n">
        <v>158434.013109795</v>
      </c>
      <c r="L17" s="5" t="n">
        <v>74626.6810805194</v>
      </c>
      <c r="M17" s="5" t="n">
        <v>35976.3414570821</v>
      </c>
      <c r="N17" s="5" t="n">
        <v>164303.644525336</v>
      </c>
      <c r="O17" s="5" t="n">
        <f aca="false">S17*O30</f>
        <v>1656323817.66142</v>
      </c>
      <c r="P17" s="5" t="n">
        <f aca="false">S17*P30</f>
        <v>1426338887.88744</v>
      </c>
      <c r="Q17" s="5" t="n">
        <f aca="false">S17*Q30</f>
        <v>1886531808.0014</v>
      </c>
      <c r="R17" s="5" t="n">
        <f aca="false">O17/C17</f>
        <v>742.232111200832</v>
      </c>
      <c r="S17" s="5" t="n">
        <f aca="false">C17/MAX(C30,C15+C16+C17+C18)</f>
        <v>0.523005221765081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137</v>
      </c>
      <c r="B18" s="5" t="s">
        <v>130</v>
      </c>
      <c r="C18" s="5" t="n">
        <v>316986.172987851</v>
      </c>
      <c r="D18" s="5" t="n">
        <v>254162.564712987</v>
      </c>
      <c r="E18" s="5" t="n">
        <v>404024.102782134</v>
      </c>
      <c r="F18" s="5" t="n">
        <v>315498.832143567</v>
      </c>
      <c r="G18" s="5" t="n">
        <v>252077.428172687</v>
      </c>
      <c r="H18" s="5" t="n">
        <v>401561.917264664</v>
      </c>
      <c r="I18" s="5" t="n">
        <v>10386.3526711636</v>
      </c>
      <c r="J18" s="5" t="n">
        <v>4715.93339522665</v>
      </c>
      <c r="K18" s="5" t="n">
        <v>22319.3927739927</v>
      </c>
      <c r="L18" s="5" t="n">
        <v>10303.0384291079</v>
      </c>
      <c r="M18" s="5" t="n">
        <v>4694.63902452374</v>
      </c>
      <c r="N18" s="5" t="n">
        <v>22186.6070431162</v>
      </c>
      <c r="O18" s="5" t="n">
        <f aca="false">S18*O30</f>
        <v>235277316.398245</v>
      </c>
      <c r="P18" s="5" t="n">
        <f aca="false">S18*P30</f>
        <v>202608440.594926</v>
      </c>
      <c r="Q18" s="5" t="n">
        <f aca="false">S18*Q30</f>
        <v>267977877.486051</v>
      </c>
      <c r="R18" s="5" t="n">
        <f aca="false">O18/C18</f>
        <v>742.232111200832</v>
      </c>
      <c r="S18" s="5" t="n">
        <f aca="false">C18/MAX(C30,C15+C16+C17+C18)</f>
        <v>0.0742917922975318</v>
      </c>
      <c r="T18" s="5" t="s">
        <v>95</v>
      </c>
      <c r="U18" s="5" t="s">
        <v>96</v>
      </c>
    </row>
    <row r="19" customFormat="false" ht="14.25" hidden="false" customHeight="true" outlineLevel="0" collapsed="false">
      <c r="A19" s="1" t="s">
        <v>137</v>
      </c>
      <c r="B19" s="1" t="s">
        <v>110</v>
      </c>
      <c r="C19" s="1" t="n">
        <v>3862942.06371166</v>
      </c>
      <c r="D19" s="1" t="n">
        <v>3278500.57115467</v>
      </c>
      <c r="E19" s="1" t="n">
        <v>4511265.30346395</v>
      </c>
      <c r="F19" s="1" t="n">
        <v>3826356.95397436</v>
      </c>
      <c r="G19" s="1" t="n">
        <v>3247093.77551932</v>
      </c>
      <c r="H19" s="1" t="n">
        <v>4444170.26388856</v>
      </c>
      <c r="I19" s="1" t="n">
        <v>328412.078028885</v>
      </c>
      <c r="J19" s="1" t="n">
        <v>224571.836735207</v>
      </c>
      <c r="K19" s="1" t="n">
        <v>456126.65550009</v>
      </c>
      <c r="L19" s="1" t="n">
        <v>323811.865511891</v>
      </c>
      <c r="M19" s="1" t="n">
        <v>220465.463908789</v>
      </c>
      <c r="N19" s="1" t="n">
        <v>448007.30476477</v>
      </c>
      <c r="O19" s="1" t="n">
        <v>8903688390.38</v>
      </c>
      <c r="P19" s="1" t="n">
        <v>7818040561.26</v>
      </c>
      <c r="Q19" s="1" t="n">
        <v>9955141209.81</v>
      </c>
      <c r="R19" s="1" t="n">
        <f aca="false">O19/C19</f>
        <v>2304.89824686239</v>
      </c>
      <c r="T19" s="1" t="s">
        <v>95</v>
      </c>
      <c r="U19" s="1" t="s">
        <v>96</v>
      </c>
    </row>
    <row r="20" s="5" customFormat="true" ht="14.25" hidden="false" customHeight="true" outlineLevel="0" collapsed="false">
      <c r="A20" s="5" t="s">
        <v>137</v>
      </c>
      <c r="B20" s="5" t="s">
        <v>135</v>
      </c>
      <c r="C20" s="5" t="n">
        <v>11951.7443131618</v>
      </c>
      <c r="D20" s="5" t="n">
        <v>10276.1106188623</v>
      </c>
      <c r="E20" s="5" t="n">
        <v>13719.1269166128</v>
      </c>
      <c r="F20" s="5" t="n">
        <v>12345.0827205056</v>
      </c>
      <c r="G20" s="5" t="n">
        <v>10191.5800050509</v>
      </c>
      <c r="H20" s="5" t="n">
        <v>14542.1988206509</v>
      </c>
      <c r="I20" s="5" t="n">
        <v>1883.22185510876</v>
      </c>
      <c r="J20" s="5" t="n">
        <v>1280.91715671685</v>
      </c>
      <c r="K20" s="5" t="n">
        <v>2608.18748267149</v>
      </c>
      <c r="L20" s="5" t="n">
        <v>1913.06403101916</v>
      </c>
      <c r="M20" s="5" t="n">
        <v>1262.46479589354</v>
      </c>
      <c r="N20" s="5" t="n">
        <v>2699.91985041486</v>
      </c>
      <c r="O20" s="5" t="n">
        <v>109704417.53</v>
      </c>
      <c r="P20" s="5" t="n">
        <v>90395642.73</v>
      </c>
      <c r="Q20" s="5" t="n">
        <v>131033167.15</v>
      </c>
      <c r="R20" s="5" t="n">
        <f aca="false">O20/C20</f>
        <v>9178.94615677048</v>
      </c>
    </row>
    <row r="21" s="5" customFormat="true" ht="14.25" hidden="false" customHeight="true" outlineLevel="0" collapsed="false">
      <c r="A21" s="5" t="s">
        <v>137</v>
      </c>
      <c r="B21" s="5" t="s">
        <v>5</v>
      </c>
      <c r="C21" s="5" t="n">
        <v>370742.32</v>
      </c>
      <c r="D21" s="5" t="n">
        <v>284062.42</v>
      </c>
      <c r="E21" s="5" t="n">
        <v>467454.8</v>
      </c>
      <c r="F21" s="5" t="n">
        <v>280367.97</v>
      </c>
      <c r="G21" s="5" t="n">
        <v>218327.89</v>
      </c>
      <c r="H21" s="5" t="n">
        <v>358691.54</v>
      </c>
      <c r="I21" s="5" t="n">
        <v>13881.82</v>
      </c>
      <c r="J21" s="5" t="n">
        <v>7153.03</v>
      </c>
      <c r="K21" s="5" t="n">
        <v>22639.38</v>
      </c>
      <c r="L21" s="5" t="n">
        <v>10767.18</v>
      </c>
      <c r="M21" s="5" t="n">
        <v>5457.6</v>
      </c>
      <c r="N21" s="5" t="n">
        <v>17806.32</v>
      </c>
      <c r="O21" s="13" t="n">
        <f aca="false">S21*O29</f>
        <v>142477585.52441</v>
      </c>
      <c r="P21" s="13" t="n">
        <f aca="false">S21*P29</f>
        <v>125498104.688659</v>
      </c>
      <c r="Q21" s="13" t="n">
        <f aca="false">S21*Q29</f>
        <v>160109363.934301</v>
      </c>
      <c r="R21" s="5" t="n">
        <f aca="false">O21/C21</f>
        <v>384.30353870691</v>
      </c>
      <c r="S21" s="5" t="n">
        <f aca="false">C21/C29</f>
        <v>0.217732993341385</v>
      </c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137</v>
      </c>
      <c r="B22" s="5" t="s">
        <v>114</v>
      </c>
      <c r="C22" s="5" t="n">
        <v>122125.84136054</v>
      </c>
      <c r="D22" s="5" t="n">
        <v>103477.995150881</v>
      </c>
      <c r="E22" s="5" t="n">
        <v>143880.655159402</v>
      </c>
      <c r="F22" s="5" t="n">
        <v>121664.348580704</v>
      </c>
      <c r="G22" s="5" t="n">
        <v>102528.787857</v>
      </c>
      <c r="H22" s="5" t="n">
        <v>142953.521398782</v>
      </c>
      <c r="I22" s="5" t="n">
        <v>16110.6011796176</v>
      </c>
      <c r="J22" s="5" t="n">
        <v>10995.3361017978</v>
      </c>
      <c r="K22" s="5" t="n">
        <v>22657.2661828689</v>
      </c>
      <c r="L22" s="5" t="n">
        <v>15947.8726602337</v>
      </c>
      <c r="M22" s="5" t="n">
        <v>10851.8175288477</v>
      </c>
      <c r="N22" s="5" t="n">
        <v>23152.7343085164</v>
      </c>
      <c r="O22" s="5" t="n">
        <v>1422714051.96</v>
      </c>
      <c r="P22" s="5" t="n">
        <v>1196787013.65</v>
      </c>
      <c r="Q22" s="5" t="n">
        <v>1657313103.19</v>
      </c>
      <c r="R22" s="5" t="n">
        <f aca="false">O22/C22</f>
        <v>11649.5742105871</v>
      </c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137</v>
      </c>
      <c r="B23" s="5" t="s">
        <v>106</v>
      </c>
      <c r="C23" s="5" t="n">
        <v>9571.28</v>
      </c>
      <c r="D23" s="5" t="n">
        <v>8324.92</v>
      </c>
      <c r="E23" s="5" t="n">
        <v>10763.64</v>
      </c>
      <c r="F23" s="5" t="n">
        <v>9387.7</v>
      </c>
      <c r="G23" s="5" t="n">
        <v>7823.92</v>
      </c>
      <c r="H23" s="5" t="n">
        <v>11051.26</v>
      </c>
      <c r="I23" s="5" t="n">
        <v>933.67</v>
      </c>
      <c r="J23" s="5" t="n">
        <v>647.7</v>
      </c>
      <c r="K23" s="5" t="n">
        <v>1227.69</v>
      </c>
      <c r="L23" s="5" t="n">
        <v>921.59</v>
      </c>
      <c r="M23" s="5" t="n">
        <v>615.64</v>
      </c>
      <c r="N23" s="5" t="n">
        <v>1246.66</v>
      </c>
      <c r="O23" s="5" t="n">
        <v>110958050.9</v>
      </c>
      <c r="P23" s="5" t="n">
        <v>93748155.86</v>
      </c>
      <c r="Q23" s="5" t="n">
        <v>128563762.21</v>
      </c>
      <c r="R23" s="5" t="n">
        <f aca="false">O23/C23</f>
        <v>11592.8121317107</v>
      </c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137</v>
      </c>
      <c r="B24" s="5" t="s">
        <v>41</v>
      </c>
      <c r="C24" s="5" t="n">
        <v>492043.188925024</v>
      </c>
      <c r="D24" s="5" t="n">
        <v>448481.229004497</v>
      </c>
      <c r="E24" s="5" t="n">
        <v>545618.123159332</v>
      </c>
      <c r="F24" s="5" t="n">
        <v>502942.874558801</v>
      </c>
      <c r="G24" s="5" t="n">
        <v>453120.772807451</v>
      </c>
      <c r="H24" s="5" t="n">
        <v>567443.767611827</v>
      </c>
      <c r="I24" s="5" t="n">
        <v>62242.7265005513</v>
      </c>
      <c r="J24" s="5" t="n">
        <v>44198.0755201343</v>
      </c>
      <c r="K24" s="5" t="n">
        <v>82989.610503033</v>
      </c>
      <c r="L24" s="5" t="n">
        <v>63269.7924278173</v>
      </c>
      <c r="M24" s="5" t="n">
        <v>44792.0202159611</v>
      </c>
      <c r="N24" s="5" t="n">
        <v>85215.4328137529</v>
      </c>
      <c r="O24" s="5" t="n">
        <v>2592363116.59</v>
      </c>
      <c r="P24" s="5" t="n">
        <v>2262859143.24</v>
      </c>
      <c r="Q24" s="5" t="n">
        <v>2983817147.58</v>
      </c>
      <c r="R24" s="5" t="n">
        <f aca="false">O24/C24</f>
        <v>5268.56823738092</v>
      </c>
      <c r="T24" s="5" t="s">
        <v>95</v>
      </c>
      <c r="U24" s="5" t="s">
        <v>96</v>
      </c>
    </row>
    <row r="25" customFormat="false" ht="14.25" hidden="false" customHeight="true" outlineLevel="0" collapsed="false">
      <c r="A25" s="5"/>
    </row>
    <row r="27" s="5" customFormat="true" ht="14.25" hidden="false" customHeight="true" outlineLevel="0" collapsed="false">
      <c r="B27" s="5" t="s">
        <v>107</v>
      </c>
      <c r="C27" s="5" t="n">
        <v>89996.36</v>
      </c>
      <c r="D27" s="5" t="n">
        <v>80054.98</v>
      </c>
      <c r="E27" s="5" t="n">
        <v>102702.03</v>
      </c>
      <c r="F27" s="5" t="n">
        <v>89878.22</v>
      </c>
      <c r="G27" s="5" t="n">
        <v>78001.52</v>
      </c>
      <c r="H27" s="5" t="n">
        <v>103461.34</v>
      </c>
      <c r="I27" s="5" t="n">
        <v>9448.75</v>
      </c>
      <c r="J27" s="5" t="n">
        <v>6454.11</v>
      </c>
      <c r="K27" s="5" t="n">
        <v>12718.67</v>
      </c>
      <c r="L27" s="5" t="n">
        <v>9373.18</v>
      </c>
      <c r="M27" s="5" t="n">
        <v>6432.25</v>
      </c>
      <c r="N27" s="5" t="n">
        <v>12812.7</v>
      </c>
      <c r="O27" s="5" t="n">
        <v>162978452.02</v>
      </c>
      <c r="P27" s="5" t="n">
        <v>138862540.5</v>
      </c>
      <c r="Q27" s="5" t="n">
        <v>187283040.58</v>
      </c>
      <c r="R27" s="5" t="n">
        <f aca="false">O27/C27</f>
        <v>1810.9449317728</v>
      </c>
    </row>
    <row r="28" s="5" customFormat="true" ht="14.25" hidden="false" customHeight="true" outlineLevel="0" collapsed="false">
      <c r="B28" s="5" t="s">
        <v>109</v>
      </c>
      <c r="C28" s="5" t="n">
        <v>10875157.876961</v>
      </c>
      <c r="D28" s="5" t="n">
        <v>10097427.3677742</v>
      </c>
      <c r="E28" s="5" t="n">
        <v>11872610.2603879</v>
      </c>
      <c r="F28" s="5" t="n">
        <v>10580620.0452833</v>
      </c>
      <c r="G28" s="5" t="n">
        <v>9836577.00937533</v>
      </c>
      <c r="H28" s="5" t="n">
        <v>11554351.8698491</v>
      </c>
      <c r="I28" s="5" t="n">
        <v>530036.874765182</v>
      </c>
      <c r="J28" s="5" t="n">
        <v>373265.066288598</v>
      </c>
      <c r="K28" s="5" t="n">
        <v>749512.551447112</v>
      </c>
      <c r="L28" s="5" t="n">
        <v>508330.234181289</v>
      </c>
      <c r="M28" s="5" t="n">
        <v>359212.188674317</v>
      </c>
      <c r="N28" s="5" t="n">
        <v>714981.499603561</v>
      </c>
      <c r="O28" s="5" t="n">
        <f aca="false">O7+O9</f>
        <v>3100368344.96</v>
      </c>
      <c r="P28" s="5" t="n">
        <f aca="false">P7+P9</f>
        <v>2729758160.81</v>
      </c>
      <c r="Q28" s="5" t="n">
        <f aca="false">Q7+Q9</f>
        <v>3519894414.33</v>
      </c>
      <c r="R28" s="5" t="n">
        <f aca="false">O28/C28</f>
        <v>285.087203334135</v>
      </c>
    </row>
    <row r="29" s="5" customFormat="true" ht="14.25" hidden="false" customHeight="true" outlineLevel="0" collapsed="false">
      <c r="B29" s="5" t="s">
        <v>108</v>
      </c>
      <c r="C29" s="6" t="n">
        <v>1702738.36</v>
      </c>
      <c r="D29" s="6" t="n">
        <v>1240644.38</v>
      </c>
      <c r="E29" s="6" t="n">
        <v>2430116.34</v>
      </c>
      <c r="F29" s="6" t="n">
        <v>1577688.04</v>
      </c>
      <c r="G29" s="6" t="n">
        <v>1008145.4</v>
      </c>
      <c r="H29" s="6" t="n">
        <v>2484987.27</v>
      </c>
      <c r="I29" s="6" t="n">
        <v>38667.62</v>
      </c>
      <c r="J29" s="6" t="n">
        <v>22331</v>
      </c>
      <c r="K29" s="6" t="n">
        <v>63350.91</v>
      </c>
      <c r="L29" s="6" t="n">
        <v>33698.11</v>
      </c>
      <c r="M29" s="6" t="n">
        <v>19164.4</v>
      </c>
      <c r="N29" s="6" t="n">
        <v>58910.22</v>
      </c>
      <c r="O29" s="13" t="n">
        <v>654368377.24</v>
      </c>
      <c r="P29" s="13" t="n">
        <v>576385336.75</v>
      </c>
      <c r="Q29" s="13" t="n">
        <v>735347277.77</v>
      </c>
      <c r="R29" s="5" t="n">
        <f aca="false">O29/C29</f>
        <v>384.30353870691</v>
      </c>
    </row>
    <row r="30" s="5" customFormat="true" ht="14.25" hidden="false" customHeight="true" outlineLevel="0" collapsed="false">
      <c r="B30" s="5" t="s">
        <v>131</v>
      </c>
      <c r="C30" s="5" t="n">
        <v>3999123.31604483</v>
      </c>
      <c r="D30" s="5" t="n">
        <v>3461633.99001397</v>
      </c>
      <c r="E30" s="5" t="n">
        <v>4654049.59979803</v>
      </c>
      <c r="F30" s="5" t="n">
        <v>3953451.16977356</v>
      </c>
      <c r="G30" s="5" t="n">
        <v>3374145.29095026</v>
      </c>
      <c r="H30" s="5" t="n">
        <v>4654266.3057642</v>
      </c>
      <c r="I30" s="5" t="n">
        <v>140253.750567404</v>
      </c>
      <c r="J30" s="5" t="n">
        <v>66600.1001056492</v>
      </c>
      <c r="K30" s="5" t="n">
        <v>312124.25791054</v>
      </c>
      <c r="L30" s="5" t="n">
        <v>138111.947984138</v>
      </c>
      <c r="M30" s="5" t="n">
        <v>64890.6602203131</v>
      </c>
      <c r="N30" s="5" t="n">
        <v>312678.771142427</v>
      </c>
      <c r="O30" s="5" t="n">
        <v>3166935527.09</v>
      </c>
      <c r="P30" s="5" t="n">
        <v>2727198178.01</v>
      </c>
      <c r="Q30" s="5" t="n">
        <v>3607099373.95</v>
      </c>
      <c r="R30" s="5" t="n">
        <f aca="false">O30/C30</f>
        <v>791.907444910233</v>
      </c>
      <c r="T30" s="5" t="s">
        <v>95</v>
      </c>
      <c r="U30" s="5" t="s">
        <v>96</v>
      </c>
    </row>
    <row r="32" customFormat="false" ht="14.25" hidden="false" customHeight="true" outlineLevel="0" collapsed="false">
      <c r="C32" s="1" t="s">
        <v>125</v>
      </c>
      <c r="D32" s="1" t="n">
        <f aca="false">C7/C28</f>
        <v>0.591796586182217</v>
      </c>
      <c r="O32" s="1" t="n">
        <f aca="false">C7/C28</f>
        <v>0.591796586182217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7.76"/>
    <col collapsed="false" customWidth="true" hidden="false" outlineLevel="0" max="3" min="3" style="1" width="11.56"/>
    <col collapsed="false" customWidth="true" hidden="false" outlineLevel="0" max="4" min="4" style="1" width="13"/>
    <col collapsed="false" customWidth="true" hidden="false" outlineLevel="0" max="5" min="5" style="1" width="11.56"/>
    <col collapsed="false" customWidth="true" hidden="false" outlineLevel="0" max="6" min="6" style="1" width="15.66"/>
    <col collapsed="false" customWidth="true" hidden="false" outlineLevel="0" max="7" min="7" style="1" width="10.56"/>
    <col collapsed="false" customWidth="true" hidden="false" outlineLevel="0" max="8" min="8" style="1" width="11.56"/>
    <col collapsed="false" customWidth="true" hidden="false" outlineLevel="0" max="9" min="9" style="1" width="10.56"/>
    <col collapsed="false" customWidth="true" hidden="false" outlineLevel="0" max="14" min="10" style="1" width="9.56"/>
    <col collapsed="false" customWidth="true" hidden="false" outlineLevel="0" max="17" min="15" style="1" width="14.67"/>
    <col collapsed="false" customWidth="true" hidden="false" outlineLevel="0" max="18" min="18" style="1" width="9.56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138</v>
      </c>
      <c r="B2" s="5" t="s">
        <v>19</v>
      </c>
      <c r="C2" s="6" t="n">
        <v>136686.423727594</v>
      </c>
      <c r="D2" s="6" t="n">
        <v>105380.774808042</v>
      </c>
      <c r="E2" s="6" t="n">
        <v>169702.615315953</v>
      </c>
      <c r="F2" s="6" t="n">
        <v>136699.029144549</v>
      </c>
      <c r="G2" s="6" t="n">
        <v>105521.026853611</v>
      </c>
      <c r="H2" s="6" t="n">
        <v>169345.800490843</v>
      </c>
      <c r="I2" s="6" t="n">
        <v>25280.3745739905</v>
      </c>
      <c r="J2" s="6" t="n">
        <v>16000.3511306745</v>
      </c>
      <c r="K2" s="6" t="n">
        <v>36734.7083922082</v>
      </c>
      <c r="L2" s="6" t="n">
        <v>25166.6627933442</v>
      </c>
      <c r="M2" s="6" t="n">
        <v>15850.1285647504</v>
      </c>
      <c r="N2" s="6" t="n">
        <v>36562.0809120031</v>
      </c>
      <c r="O2" s="6" t="n">
        <v>1068589115.94</v>
      </c>
      <c r="P2" s="6" t="n">
        <v>967303010.31</v>
      </c>
      <c r="Q2" s="6" t="n">
        <v>1197050909.36</v>
      </c>
      <c r="R2" s="6" t="n">
        <f aca="false">O2/C2</f>
        <v>7817.81457732496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138</v>
      </c>
      <c r="B3" s="5" t="s">
        <v>94</v>
      </c>
      <c r="C3" s="6" t="n">
        <v>8482.54114856678</v>
      </c>
      <c r="D3" s="6" t="n">
        <v>5801.30248912701</v>
      </c>
      <c r="E3" s="6" t="n">
        <v>12207.9607252232</v>
      </c>
      <c r="F3" s="6" t="n">
        <v>7795.47782208373</v>
      </c>
      <c r="G3" s="6" t="n">
        <v>5261.48760822604</v>
      </c>
      <c r="H3" s="6" t="n">
        <v>11690.9624801258</v>
      </c>
      <c r="I3" s="6" t="n">
        <v>1187.03391466326</v>
      </c>
      <c r="J3" s="6" t="n">
        <v>782.423142599343</v>
      </c>
      <c r="K3" s="6" t="n">
        <v>1720.55748194053</v>
      </c>
      <c r="L3" s="6" t="n">
        <v>1078.21093960216</v>
      </c>
      <c r="M3" s="6" t="n">
        <v>697.727834160769</v>
      </c>
      <c r="N3" s="6" t="n">
        <v>1557.365180025</v>
      </c>
      <c r="O3" s="6" t="n">
        <v>792936441.22</v>
      </c>
      <c r="P3" s="6" t="n">
        <v>695129875.74</v>
      </c>
      <c r="Q3" s="6" t="n">
        <v>916463631.51</v>
      </c>
      <c r="R3" s="6" t="n">
        <f aca="false">O3/C3</f>
        <v>93478.6436437123</v>
      </c>
      <c r="S3" s="6"/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138</v>
      </c>
      <c r="B4" s="5" t="s">
        <v>97</v>
      </c>
      <c r="C4" s="6" t="n">
        <v>34498.0582418779</v>
      </c>
      <c r="D4" s="6" t="n">
        <v>28179.1640699209</v>
      </c>
      <c r="E4" s="6" t="n">
        <v>41928.9129972957</v>
      </c>
      <c r="F4" s="6" t="n">
        <v>31620.272194546</v>
      </c>
      <c r="G4" s="6" t="n">
        <v>25210.7292947581</v>
      </c>
      <c r="H4" s="6" t="n">
        <v>39717.0639040533</v>
      </c>
      <c r="I4" s="6" t="n">
        <v>4909.88376407794</v>
      </c>
      <c r="J4" s="6" t="n">
        <v>3114.97730323002</v>
      </c>
      <c r="K4" s="6" t="n">
        <v>6891.40085513644</v>
      </c>
      <c r="L4" s="6" t="n">
        <v>4505.26530253493</v>
      </c>
      <c r="M4" s="6" t="n">
        <v>2879.19508893045</v>
      </c>
      <c r="N4" s="6" t="n">
        <v>6402.88802666553</v>
      </c>
      <c r="O4" s="6" t="n">
        <f aca="false">S4*O27</f>
        <v>63967081.7446653</v>
      </c>
      <c r="P4" s="6" t="n">
        <f aca="false">S4*P27</f>
        <v>54226130.1754948</v>
      </c>
      <c r="Q4" s="6" t="n">
        <f aca="false">S4*Q27</f>
        <v>73435008.0486898</v>
      </c>
      <c r="R4" s="6" t="n">
        <f aca="false">O4/C4</f>
        <v>1854.2226723652</v>
      </c>
      <c r="S4" s="6" t="n">
        <f aca="false">C4/C27</f>
        <v>0.382081329003254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138</v>
      </c>
      <c r="B5" s="5" t="s">
        <v>119</v>
      </c>
      <c r="C5" s="6" t="n">
        <v>104510.361880029</v>
      </c>
      <c r="D5" s="6" t="n">
        <v>84972.1954880433</v>
      </c>
      <c r="E5" s="6" t="n">
        <v>127648.177639634</v>
      </c>
      <c r="F5" s="6" t="n">
        <v>98554.3775517466</v>
      </c>
      <c r="G5" s="6" t="n">
        <v>78122.6632676417</v>
      </c>
      <c r="H5" s="6" t="n">
        <v>124510.776864806</v>
      </c>
      <c r="I5" s="6" t="n">
        <v>7761.20057774529</v>
      </c>
      <c r="J5" s="6" t="n">
        <v>5209.54332963794</v>
      </c>
      <c r="K5" s="6" t="n">
        <v>10862.5560176825</v>
      </c>
      <c r="L5" s="6" t="n">
        <v>7317.41606213906</v>
      </c>
      <c r="M5" s="6" t="n">
        <v>4774.59697838214</v>
      </c>
      <c r="N5" s="6" t="n">
        <v>10053.3932758633</v>
      </c>
      <c r="O5" s="6" t="n">
        <v>938241066.48</v>
      </c>
      <c r="P5" s="6" t="n">
        <v>816438717.42</v>
      </c>
      <c r="Q5" s="6" t="n">
        <v>1093431677.59</v>
      </c>
      <c r="R5" s="6" t="n">
        <f aca="false">O5/C5</f>
        <v>8977.49323226953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138</v>
      </c>
      <c r="B6" s="5" t="s">
        <v>122</v>
      </c>
      <c r="C6" s="6" t="n">
        <v>4282057.32948546</v>
      </c>
      <c r="D6" s="6" t="n">
        <v>3923290.92560792</v>
      </c>
      <c r="E6" s="6" t="n">
        <v>4665235.17510132</v>
      </c>
      <c r="F6" s="6" t="n">
        <v>4342163.10568854</v>
      </c>
      <c r="G6" s="6" t="n">
        <v>3926257.16327491</v>
      </c>
      <c r="H6" s="6" t="n">
        <v>4788879.86415238</v>
      </c>
      <c r="I6" s="6" t="n">
        <v>316952.252072928</v>
      </c>
      <c r="J6" s="6" t="n">
        <v>226789.516450005</v>
      </c>
      <c r="K6" s="6" t="n">
        <v>436461.036226419</v>
      </c>
      <c r="L6" s="6" t="n">
        <v>320482.126447164</v>
      </c>
      <c r="M6" s="6" t="n">
        <v>225477.814667169</v>
      </c>
      <c r="N6" s="6" t="n">
        <v>444626.047775161</v>
      </c>
      <c r="O6" s="6" t="n">
        <v>47426650484.7</v>
      </c>
      <c r="P6" s="6" t="n">
        <v>41917006273.83</v>
      </c>
      <c r="Q6" s="6" t="n">
        <v>53872332662.7</v>
      </c>
      <c r="R6" s="6" t="n">
        <f aca="false">O6/C6</f>
        <v>11075.6692018411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138</v>
      </c>
      <c r="B7" s="5" t="s">
        <v>26</v>
      </c>
      <c r="C7" s="6" t="n">
        <v>10068923.1394782</v>
      </c>
      <c r="D7" s="6" t="n">
        <v>8377715.91935874</v>
      </c>
      <c r="E7" s="6" t="n">
        <v>11940518.8709325</v>
      </c>
      <c r="F7" s="6" t="n">
        <v>8949865.33444507</v>
      </c>
      <c r="G7" s="6" t="n">
        <v>7506803.29289184</v>
      </c>
      <c r="H7" s="6" t="n">
        <v>10581269.6669332</v>
      </c>
      <c r="I7" s="6" t="n">
        <v>465428.324116499</v>
      </c>
      <c r="J7" s="6" t="n">
        <v>318594.185304956</v>
      </c>
      <c r="K7" s="6" t="n">
        <v>629808.46439047</v>
      </c>
      <c r="L7" s="6" t="n">
        <v>411412.744211434</v>
      </c>
      <c r="M7" s="6" t="n">
        <v>283902.209025617</v>
      </c>
      <c r="N7" s="6" t="n">
        <v>555815.129202538</v>
      </c>
      <c r="O7" s="6" t="n">
        <v>2245646999.31</v>
      </c>
      <c r="P7" s="6" t="n">
        <v>1996700189.31</v>
      </c>
      <c r="Q7" s="6" t="n">
        <v>2528974780.16</v>
      </c>
      <c r="R7" s="6" t="n">
        <f aca="false">O7/C7</f>
        <v>223.027524215104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138</v>
      </c>
      <c r="B8" s="5" t="s">
        <v>9</v>
      </c>
      <c r="C8" s="6" t="n">
        <v>976288.314947329</v>
      </c>
      <c r="D8" s="6" t="n">
        <v>750972.838354011</v>
      </c>
      <c r="E8" s="6" t="n">
        <v>1227687.94007435</v>
      </c>
      <c r="F8" s="6" t="n">
        <v>846919.934959709</v>
      </c>
      <c r="G8" s="6" t="n">
        <v>597070.437880823</v>
      </c>
      <c r="H8" s="6" t="n">
        <v>1155889.16075523</v>
      </c>
      <c r="I8" s="6" t="n">
        <v>30001.3316504182</v>
      </c>
      <c r="J8" s="6" t="n">
        <v>20493.4636843535</v>
      </c>
      <c r="K8" s="6" t="n">
        <v>43366.3703121893</v>
      </c>
      <c r="L8" s="6" t="n">
        <v>25932.2491728163</v>
      </c>
      <c r="M8" s="6" t="n">
        <v>16474.1675780473</v>
      </c>
      <c r="N8" s="6" t="n">
        <v>40090.6625577573</v>
      </c>
      <c r="O8" s="6" t="n">
        <v>185925183.44</v>
      </c>
      <c r="P8" s="6" t="n">
        <v>161256185.66</v>
      </c>
      <c r="Q8" s="6" t="n">
        <v>215213056.74</v>
      </c>
      <c r="R8" s="6" t="n">
        <f aca="false">O8/C8</f>
        <v>190.440857063859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138</v>
      </c>
      <c r="B9" s="5" t="s">
        <v>120</v>
      </c>
      <c r="C9" s="6" t="n">
        <v>4296185.96328629</v>
      </c>
      <c r="D9" s="6" t="n">
        <v>3526074.04531262</v>
      </c>
      <c r="E9" s="6" t="n">
        <v>5179603.96192282</v>
      </c>
      <c r="F9" s="6" t="n">
        <v>3958851.55865031</v>
      </c>
      <c r="G9" s="6" t="n">
        <v>3268900.99020928</v>
      </c>
      <c r="H9" s="6" t="n">
        <v>4783763.42309455</v>
      </c>
      <c r="I9" s="6" t="n">
        <v>476168.37169752</v>
      </c>
      <c r="J9" s="6" t="n">
        <v>322063.48457708</v>
      </c>
      <c r="K9" s="6" t="n">
        <v>685579.560642355</v>
      </c>
      <c r="L9" s="6" t="n">
        <v>436913.188366162</v>
      </c>
      <c r="M9" s="6" t="n">
        <v>296994.576043505</v>
      </c>
      <c r="N9" s="6" t="n">
        <v>625790.527159706</v>
      </c>
      <c r="O9" s="6" t="n">
        <v>4505339604.96</v>
      </c>
      <c r="P9" s="6" t="n">
        <v>3941687395.23</v>
      </c>
      <c r="Q9" s="6" t="n">
        <v>5103262083.91</v>
      </c>
      <c r="R9" s="6" t="n">
        <f aca="false">O9/C9</f>
        <v>1048.6835633888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138</v>
      </c>
      <c r="B10" s="5" t="s">
        <v>134</v>
      </c>
      <c r="C10" s="6" t="n">
        <v>622871.986909131</v>
      </c>
      <c r="D10" s="6" t="n">
        <v>505835.659188973</v>
      </c>
      <c r="E10" s="6" t="n">
        <v>779404.09476825</v>
      </c>
      <c r="F10" s="6" t="n">
        <v>547331.953152279</v>
      </c>
      <c r="G10" s="6" t="n">
        <v>403487.278697206</v>
      </c>
      <c r="H10" s="6" t="n">
        <v>735464.526773552</v>
      </c>
      <c r="I10" s="6" t="n">
        <v>1210.92129421343</v>
      </c>
      <c r="J10" s="6" t="n">
        <v>557.693366118811</v>
      </c>
      <c r="K10" s="6" t="n">
        <v>2477.81448928646</v>
      </c>
      <c r="L10" s="6" t="n">
        <v>1054.37006607808</v>
      </c>
      <c r="M10" s="6" t="n">
        <v>454.657809557078</v>
      </c>
      <c r="N10" s="6" t="n">
        <v>2214.92343391409</v>
      </c>
      <c r="O10" s="6" t="n">
        <v>800804606.94</v>
      </c>
      <c r="P10" s="6" t="n">
        <v>681416804.49</v>
      </c>
      <c r="Q10" s="6" t="n">
        <v>932926352.89</v>
      </c>
      <c r="R10" s="6" t="n">
        <f aca="false">O10/C10</f>
        <v>1285.66482964473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138</v>
      </c>
      <c r="B11" s="5" t="s">
        <v>98</v>
      </c>
      <c r="C11" s="6" t="n">
        <v>1857.32760357524</v>
      </c>
      <c r="D11" s="6" t="n">
        <v>1533.31425658172</v>
      </c>
      <c r="E11" s="6" t="n">
        <v>2317.99599944709</v>
      </c>
      <c r="F11" s="6" t="n">
        <v>1924.5107089503</v>
      </c>
      <c r="G11" s="6" t="n">
        <v>1439.4202141544</v>
      </c>
      <c r="H11" s="6" t="n">
        <v>2592.50913022664</v>
      </c>
      <c r="I11" s="6" t="n">
        <v>194.737282737783</v>
      </c>
      <c r="J11" s="6" t="n">
        <v>130.000417190005</v>
      </c>
      <c r="K11" s="6" t="n">
        <v>286.323149575785</v>
      </c>
      <c r="L11" s="6" t="n">
        <v>201.059390775981</v>
      </c>
      <c r="M11" s="6" t="n">
        <v>129.09330493986</v>
      </c>
      <c r="N11" s="6" t="n">
        <v>323.211578582204</v>
      </c>
      <c r="O11" s="6" t="n">
        <v>452951749.61</v>
      </c>
      <c r="P11" s="6" t="n">
        <v>385872851.56</v>
      </c>
      <c r="Q11" s="6" t="n">
        <v>527393843.64</v>
      </c>
      <c r="R11" s="6" t="n">
        <f aca="false">O11/C11</f>
        <v>243872.835755037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138</v>
      </c>
      <c r="B12" s="5" t="s">
        <v>44</v>
      </c>
      <c r="C12" s="6" t="n">
        <v>3380.57891298866</v>
      </c>
      <c r="D12" s="6" t="n">
        <v>2808.79211184614</v>
      </c>
      <c r="E12" s="6" t="n">
        <v>3972.66569536554</v>
      </c>
      <c r="F12" s="6" t="n">
        <v>3252.86170824277</v>
      </c>
      <c r="G12" s="6" t="n">
        <v>2636.40878048312</v>
      </c>
      <c r="H12" s="6" t="n">
        <v>3920.48317046412</v>
      </c>
      <c r="I12" s="6" t="n">
        <v>718.881158062213</v>
      </c>
      <c r="J12" s="6" t="n">
        <v>489.286531804429</v>
      </c>
      <c r="K12" s="6" t="n">
        <v>966.529184803355</v>
      </c>
      <c r="L12" s="6" t="n">
        <v>691.940879229098</v>
      </c>
      <c r="M12" s="6" t="n">
        <v>455.653795370137</v>
      </c>
      <c r="N12" s="6" t="n">
        <v>960.083775581102</v>
      </c>
      <c r="O12" s="6" t="n">
        <v>315971970.57</v>
      </c>
      <c r="P12" s="6" t="n">
        <v>261947076.9</v>
      </c>
      <c r="Q12" s="6" t="n">
        <v>379648845.33</v>
      </c>
      <c r="R12" s="6" t="n">
        <f aca="false">O12/C12</f>
        <v>93466.8229030215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138</v>
      </c>
      <c r="B13" s="5" t="s">
        <v>12</v>
      </c>
      <c r="C13" s="6" t="n">
        <v>51928.7571003456</v>
      </c>
      <c r="D13" s="6" t="n">
        <v>48431.1234107709</v>
      </c>
      <c r="E13" s="6" t="n">
        <v>55735.3583884017</v>
      </c>
      <c r="F13" s="6" t="n">
        <v>48926.0711672385</v>
      </c>
      <c r="G13" s="6" t="n">
        <v>45472.2408605226</v>
      </c>
      <c r="H13" s="6" t="n">
        <v>52782.006127056</v>
      </c>
      <c r="I13" s="6" t="n">
        <v>12611.478793065</v>
      </c>
      <c r="J13" s="6" t="n">
        <v>9125.64292996967</v>
      </c>
      <c r="K13" s="6" t="n">
        <v>16365.1816712062</v>
      </c>
      <c r="L13" s="6" t="n">
        <v>11863.863661815</v>
      </c>
      <c r="M13" s="6" t="n">
        <v>8508.02704124363</v>
      </c>
      <c r="N13" s="6" t="n">
        <v>15301.0315633178</v>
      </c>
      <c r="O13" s="6" t="n">
        <v>2632847422.89</v>
      </c>
      <c r="P13" s="6" t="n">
        <v>2231138293.97</v>
      </c>
      <c r="Q13" s="6" t="n">
        <v>3034274853.13</v>
      </c>
      <c r="R13" s="6" t="n">
        <f aca="false">O13/C13</f>
        <v>50701.1446047585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138</v>
      </c>
      <c r="B14" s="5" t="s">
        <v>113</v>
      </c>
      <c r="C14" s="6" t="n">
        <v>912359.657781659</v>
      </c>
      <c r="D14" s="6" t="n">
        <v>532444.839220719</v>
      </c>
      <c r="E14" s="6" t="n">
        <v>1473215.12326807</v>
      </c>
      <c r="F14" s="6" t="n">
        <v>859394.177857509</v>
      </c>
      <c r="G14" s="6" t="n">
        <v>479212.546565404</v>
      </c>
      <c r="H14" s="6" t="n">
        <v>1420181.03664123</v>
      </c>
      <c r="I14" s="6" t="n">
        <v>88361.0304161051</v>
      </c>
      <c r="J14" s="6" t="n">
        <v>41922.3407408529</v>
      </c>
      <c r="K14" s="6" t="n">
        <v>159102.2660903</v>
      </c>
      <c r="L14" s="6" t="n">
        <v>82977.5342565402</v>
      </c>
      <c r="M14" s="6" t="n">
        <v>40021.4620464679</v>
      </c>
      <c r="N14" s="6" t="n">
        <v>149634.256208423</v>
      </c>
      <c r="O14" s="6" t="n">
        <v>2291003531.8</v>
      </c>
      <c r="P14" s="6" t="n">
        <v>1976184665.02</v>
      </c>
      <c r="Q14" s="6" t="n">
        <v>2617261431.55</v>
      </c>
      <c r="R14" s="6" t="n">
        <f aca="false">O14/C14</f>
        <v>2511.07500453321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138</v>
      </c>
      <c r="B15" s="5" t="s">
        <v>64</v>
      </c>
      <c r="C15" s="6" t="n">
        <v>2214556.01150374</v>
      </c>
      <c r="D15" s="6" t="n">
        <v>1517413.69202939</v>
      </c>
      <c r="E15" s="6" t="n">
        <v>2981949.89275349</v>
      </c>
      <c r="F15" s="6" t="n">
        <v>1907482.0672845</v>
      </c>
      <c r="G15" s="6" t="n">
        <v>1317138.44907446</v>
      </c>
      <c r="H15" s="6" t="n">
        <v>2579618.08545184</v>
      </c>
      <c r="I15" s="6" t="n">
        <v>71636.8959496377</v>
      </c>
      <c r="J15" s="6" t="n">
        <v>31707.4593742355</v>
      </c>
      <c r="K15" s="6" t="n">
        <v>161952.657769222</v>
      </c>
      <c r="L15" s="6" t="n">
        <v>61507.3747793806</v>
      </c>
      <c r="M15" s="6" t="n">
        <v>27391.6001460831</v>
      </c>
      <c r="N15" s="6" t="n">
        <v>140336.305363544</v>
      </c>
      <c r="O15" s="6" t="n">
        <f aca="false">S15*O30</f>
        <v>1675219460.88605</v>
      </c>
      <c r="P15" s="6" t="n">
        <f aca="false">S15*P30</f>
        <v>1446674504.93529</v>
      </c>
      <c r="Q15" s="6" t="n">
        <f aca="false">S15*Q30</f>
        <v>1943025620.50544</v>
      </c>
      <c r="R15" s="6" t="n">
        <f aca="false">O15/C15</f>
        <v>756.458383614569</v>
      </c>
      <c r="S15" s="6" t="n">
        <f aca="false">C15/MAX(C30,C15+C16+C17+C18)</f>
        <v>0.333305257445353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138</v>
      </c>
      <c r="B16" s="5" t="s">
        <v>128</v>
      </c>
      <c r="C16" s="6" t="n">
        <v>596765.976081578</v>
      </c>
      <c r="D16" s="6" t="n">
        <v>439804.141951938</v>
      </c>
      <c r="E16" s="6" t="n">
        <v>791915.055484915</v>
      </c>
      <c r="F16" s="6" t="n">
        <v>560238.169365468</v>
      </c>
      <c r="G16" s="6" t="n">
        <v>395291.759322612</v>
      </c>
      <c r="H16" s="6" t="n">
        <v>769544.195787706</v>
      </c>
      <c r="I16" s="6" t="n">
        <v>19275.4863182205</v>
      </c>
      <c r="J16" s="6" t="n">
        <v>8612.74471296547</v>
      </c>
      <c r="K16" s="6" t="n">
        <v>40534.1824971276</v>
      </c>
      <c r="L16" s="6" t="n">
        <v>18012.8109075793</v>
      </c>
      <c r="M16" s="6" t="n">
        <v>7517.18996064872</v>
      </c>
      <c r="N16" s="6" t="n">
        <v>37920.4638336395</v>
      </c>
      <c r="O16" s="6" t="n">
        <f aca="false">S16*O30</f>
        <v>451428625.662841</v>
      </c>
      <c r="P16" s="6" t="n">
        <f aca="false">S16*P30</f>
        <v>389841628.988117</v>
      </c>
      <c r="Q16" s="6" t="n">
        <f aca="false">S16*Q30</f>
        <v>523595508.512378</v>
      </c>
      <c r="R16" s="6" t="n">
        <f aca="false">O16/C16</f>
        <v>756.458383614569</v>
      </c>
      <c r="S16" s="6" t="n">
        <f aca="false">C16/MAX(C30,C15+C16+C17+C18)</f>
        <v>0.0898172077198608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138</v>
      </c>
      <c r="B17" s="5" t="s">
        <v>129</v>
      </c>
      <c r="C17" s="6" t="n">
        <v>3369353.2191452</v>
      </c>
      <c r="D17" s="6" t="n">
        <v>2777856.16513976</v>
      </c>
      <c r="E17" s="6" t="n">
        <v>3966623.56497061</v>
      </c>
      <c r="F17" s="6" t="n">
        <v>3203990.0761892</v>
      </c>
      <c r="G17" s="6" t="n">
        <v>2599181.8896644</v>
      </c>
      <c r="H17" s="6" t="n">
        <v>3871812.34965892</v>
      </c>
      <c r="I17" s="6" t="n">
        <v>109282.209541089</v>
      </c>
      <c r="J17" s="6" t="n">
        <v>53258.3656533614</v>
      </c>
      <c r="K17" s="6" t="n">
        <v>238071.207928943</v>
      </c>
      <c r="L17" s="6" t="n">
        <v>103676.101952687</v>
      </c>
      <c r="M17" s="6" t="n">
        <v>50607.1826018713</v>
      </c>
      <c r="N17" s="6" t="n">
        <v>226415.99937062</v>
      </c>
      <c r="O17" s="6" t="n">
        <f aca="false">S17*O30</f>
        <v>2548775489.98112</v>
      </c>
      <c r="P17" s="6" t="n">
        <f aca="false">S17*P30</f>
        <v>2201054014.86287</v>
      </c>
      <c r="Q17" s="6" t="n">
        <f aca="false">S17*Q30</f>
        <v>2956231224.3736</v>
      </c>
      <c r="R17" s="6" t="n">
        <f aca="false">O17/C17</f>
        <v>756.458383614569</v>
      </c>
      <c r="S17" s="6" t="n">
        <f aca="false">C17/MAX(C30,C15+C16+C17+C18)</f>
        <v>0.507109838856123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138</v>
      </c>
      <c r="B18" s="5" t="s">
        <v>130</v>
      </c>
      <c r="C18" s="6" t="n">
        <v>463552.455555384</v>
      </c>
      <c r="D18" s="6" t="n">
        <v>373809.581268589</v>
      </c>
      <c r="E18" s="6" t="n">
        <v>573057.39537655</v>
      </c>
      <c r="F18" s="6" t="n">
        <v>431270.077104378</v>
      </c>
      <c r="G18" s="6" t="n">
        <v>346832.474280037</v>
      </c>
      <c r="H18" s="6" t="n">
        <v>534615.88469378</v>
      </c>
      <c r="I18" s="6" t="n">
        <v>14993.5383807502</v>
      </c>
      <c r="J18" s="6" t="n">
        <v>7233.06104170286</v>
      </c>
      <c r="K18" s="6" t="n">
        <v>32570.8550418264</v>
      </c>
      <c r="L18" s="6" t="n">
        <v>13883.9278311594</v>
      </c>
      <c r="M18" s="6" t="n">
        <v>6751.60479623651</v>
      </c>
      <c r="N18" s="6" t="n">
        <v>30250.7144039766</v>
      </c>
      <c r="O18" s="6" t="n">
        <f aca="false">S18*O30</f>
        <v>350658141.24999</v>
      </c>
      <c r="P18" s="6" t="n">
        <f aca="false">S18*P30</f>
        <v>302818946.853715</v>
      </c>
      <c r="Q18" s="6" t="n">
        <f aca="false">S18*Q30</f>
        <v>406715519.008583</v>
      </c>
      <c r="R18" s="6" t="n">
        <f aca="false">O18/C18</f>
        <v>756.458383614569</v>
      </c>
      <c r="S18" s="6" t="n">
        <f aca="false">C18/MAX(C30,C15+C16+C17+C18)</f>
        <v>0.0697676959786628</v>
      </c>
      <c r="T18" s="5" t="s">
        <v>95</v>
      </c>
      <c r="U18" s="5" t="s">
        <v>96</v>
      </c>
    </row>
    <row r="19" customFormat="false" ht="14.25" hidden="false" customHeight="true" outlineLevel="0" collapsed="false">
      <c r="A19" s="1" t="s">
        <v>138</v>
      </c>
      <c r="B19" s="1" t="s">
        <v>110</v>
      </c>
      <c r="C19" s="12" t="n">
        <v>4477563.16601168</v>
      </c>
      <c r="D19" s="12" t="n">
        <v>3830230.93849646</v>
      </c>
      <c r="E19" s="12" t="n">
        <v>5179749.79483449</v>
      </c>
      <c r="F19" s="12" t="n">
        <v>4152990.8111346</v>
      </c>
      <c r="G19" s="12" t="n">
        <v>3543298.85736646</v>
      </c>
      <c r="H19" s="12" t="n">
        <v>4836331.33618697</v>
      </c>
      <c r="I19" s="12" t="n">
        <v>374484.964392547</v>
      </c>
      <c r="J19" s="12" t="n">
        <v>260082.137880431</v>
      </c>
      <c r="K19" s="12" t="n">
        <v>517466.58624136</v>
      </c>
      <c r="L19" s="12" t="n">
        <v>345620.065980381</v>
      </c>
      <c r="M19" s="12" t="n">
        <v>238784.913244057</v>
      </c>
      <c r="N19" s="12" t="n">
        <v>471817.788630238</v>
      </c>
      <c r="O19" s="12" t="n">
        <v>10063229073.03</v>
      </c>
      <c r="P19" s="12" t="n">
        <v>8967255309.15</v>
      </c>
      <c r="Q19" s="12" t="n">
        <v>11588585411.81</v>
      </c>
      <c r="R19" s="6" t="n">
        <f aca="false">O19/C19</f>
        <v>2247.47897459449</v>
      </c>
      <c r="S19" s="12"/>
      <c r="T19" s="1" t="s">
        <v>95</v>
      </c>
      <c r="U19" s="1" t="s">
        <v>96</v>
      </c>
    </row>
    <row r="20" s="5" customFormat="true" ht="14.25" hidden="false" customHeight="true" outlineLevel="0" collapsed="false">
      <c r="A20" s="5" t="s">
        <v>138</v>
      </c>
      <c r="B20" s="5" t="s">
        <v>135</v>
      </c>
      <c r="C20" s="6" t="n">
        <v>26250.5913773162</v>
      </c>
      <c r="D20" s="6" t="n">
        <v>22640.6551658954</v>
      </c>
      <c r="E20" s="6" t="n">
        <v>30443.4653911612</v>
      </c>
      <c r="F20" s="6" t="n">
        <v>25340.3907998554</v>
      </c>
      <c r="G20" s="6" t="n">
        <v>21449.7724898852</v>
      </c>
      <c r="H20" s="6" t="n">
        <v>29776.9096640441</v>
      </c>
      <c r="I20" s="6" t="n">
        <v>3863.42713070156</v>
      </c>
      <c r="J20" s="6" t="n">
        <v>2624.30870155989</v>
      </c>
      <c r="K20" s="6" t="n">
        <v>5375.33187634955</v>
      </c>
      <c r="L20" s="6" t="n">
        <v>3749.86765683804</v>
      </c>
      <c r="M20" s="6" t="n">
        <v>2523.50592003961</v>
      </c>
      <c r="N20" s="6" t="n">
        <v>5260.9363736389</v>
      </c>
      <c r="O20" s="6" t="n">
        <v>258911249.66</v>
      </c>
      <c r="P20" s="6" t="n">
        <v>218354371.24</v>
      </c>
      <c r="Q20" s="6" t="n">
        <v>309014909.88</v>
      </c>
      <c r="R20" s="6" t="n">
        <f aca="false">O20/C20</f>
        <v>9863.0634997325</v>
      </c>
      <c r="S20" s="6"/>
    </row>
    <row r="21" s="5" customFormat="true" ht="14.25" hidden="false" customHeight="true" outlineLevel="0" collapsed="false">
      <c r="A21" s="5" t="s">
        <v>138</v>
      </c>
      <c r="B21" s="5" t="s">
        <v>5</v>
      </c>
      <c r="C21" s="6" t="n">
        <v>430899.4</v>
      </c>
      <c r="D21" s="6" t="n">
        <v>326473.63</v>
      </c>
      <c r="E21" s="6" t="n">
        <v>545965.36</v>
      </c>
      <c r="F21" s="6" t="n">
        <v>306400.15</v>
      </c>
      <c r="G21" s="6" t="n">
        <v>238554.04</v>
      </c>
      <c r="H21" s="6" t="n">
        <v>392532.65</v>
      </c>
      <c r="I21" s="6" t="n">
        <v>15719.64</v>
      </c>
      <c r="J21" s="6" t="n">
        <v>8160.41</v>
      </c>
      <c r="K21" s="6" t="n">
        <v>26126.7</v>
      </c>
      <c r="L21" s="6" t="n">
        <v>11546.75</v>
      </c>
      <c r="M21" s="6" t="n">
        <v>5903.28</v>
      </c>
      <c r="N21" s="6" t="n">
        <v>19060.9</v>
      </c>
      <c r="O21" s="6" t="n">
        <f aca="false">S21*O29</f>
        <v>152545934.00793</v>
      </c>
      <c r="P21" s="6" t="n">
        <f aca="false">S21*P29</f>
        <v>134812118.84452</v>
      </c>
      <c r="Q21" s="6" t="n">
        <f aca="false">S21*Q29</f>
        <v>173898624.538123</v>
      </c>
      <c r="R21" s="6" t="n">
        <f aca="false">O21/C21</f>
        <v>354.01751315488</v>
      </c>
      <c r="S21" s="6" t="n">
        <f aca="false">C21/C29</f>
        <v>0.190567011771224</v>
      </c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138</v>
      </c>
      <c r="B22" s="5" t="s">
        <v>114</v>
      </c>
      <c r="C22" s="6" t="n">
        <v>165702.200530326</v>
      </c>
      <c r="D22" s="6" t="n">
        <v>141606.765132196</v>
      </c>
      <c r="E22" s="6" t="n">
        <v>189714.936011266</v>
      </c>
      <c r="F22" s="6" t="n">
        <v>153703.470214735</v>
      </c>
      <c r="G22" s="6" t="n">
        <v>130761.718245919</v>
      </c>
      <c r="H22" s="6" t="n">
        <v>176797.546039253</v>
      </c>
      <c r="I22" s="6" t="n">
        <v>21518.6004162603</v>
      </c>
      <c r="J22" s="6" t="n">
        <v>14633.5688351817</v>
      </c>
      <c r="K22" s="6" t="n">
        <v>29644.5700056716</v>
      </c>
      <c r="L22" s="6" t="n">
        <v>19896.1691059016</v>
      </c>
      <c r="M22" s="6" t="n">
        <v>13074.6893195122</v>
      </c>
      <c r="N22" s="6" t="n">
        <v>27666.3465211362</v>
      </c>
      <c r="O22" s="6" t="n">
        <v>1853733613.89</v>
      </c>
      <c r="P22" s="6" t="n">
        <v>1581442661.17</v>
      </c>
      <c r="Q22" s="6" t="n">
        <v>2144064193.49</v>
      </c>
      <c r="R22" s="6" t="n">
        <f aca="false">O22/C22</f>
        <v>11187.1393859416</v>
      </c>
      <c r="S22" s="6"/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138</v>
      </c>
      <c r="B23" s="5" t="s">
        <v>106</v>
      </c>
      <c r="C23" s="6" t="n">
        <v>11309.63</v>
      </c>
      <c r="D23" s="6" t="n">
        <v>9967.28</v>
      </c>
      <c r="E23" s="6" t="n">
        <v>12563.63</v>
      </c>
      <c r="F23" s="6" t="n">
        <v>10568.08</v>
      </c>
      <c r="G23" s="6" t="n">
        <v>8889.24</v>
      </c>
      <c r="H23" s="6" t="n">
        <v>12317.69</v>
      </c>
      <c r="I23" s="6" t="n">
        <v>1116.06</v>
      </c>
      <c r="J23" s="6" t="n">
        <v>781.29</v>
      </c>
      <c r="K23" s="6" t="n">
        <v>1463.72</v>
      </c>
      <c r="L23" s="6" t="n">
        <v>1041.1</v>
      </c>
      <c r="M23" s="6" t="n">
        <v>686.06</v>
      </c>
      <c r="N23" s="6" t="n">
        <v>1406.73</v>
      </c>
      <c r="O23" s="6" t="n">
        <v>136633568.26</v>
      </c>
      <c r="P23" s="6" t="n">
        <v>119035234.01</v>
      </c>
      <c r="Q23" s="6" t="n">
        <v>160389925.07</v>
      </c>
      <c r="R23" s="6" t="n">
        <f aca="false">O23/C23</f>
        <v>12081.1704945255</v>
      </c>
      <c r="S23" s="6"/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138</v>
      </c>
      <c r="B24" s="5" t="s">
        <v>41</v>
      </c>
      <c r="C24" s="6" t="n">
        <v>701283.187743609</v>
      </c>
      <c r="D24" s="6" t="n">
        <v>653537.03865841</v>
      </c>
      <c r="E24" s="6" t="n">
        <v>767355.637312744</v>
      </c>
      <c r="F24" s="6" t="n">
        <v>670441.192967857</v>
      </c>
      <c r="G24" s="6" t="n">
        <v>615317.773408533</v>
      </c>
      <c r="H24" s="6" t="n">
        <v>741354.196109009</v>
      </c>
      <c r="I24" s="6" t="n">
        <v>89477.1818453543</v>
      </c>
      <c r="J24" s="6" t="n">
        <v>65128.9888037232</v>
      </c>
      <c r="K24" s="6" t="n">
        <v>115216.186682554</v>
      </c>
      <c r="L24" s="6" t="n">
        <v>84857.9474555098</v>
      </c>
      <c r="M24" s="6" t="n">
        <v>61424.5698572837</v>
      </c>
      <c r="N24" s="6" t="n">
        <v>109982.64502105</v>
      </c>
      <c r="O24" s="6" t="n">
        <v>3736355317.8</v>
      </c>
      <c r="P24" s="6" t="n">
        <v>3286991012.92</v>
      </c>
      <c r="Q24" s="6" t="n">
        <v>4236745597.3</v>
      </c>
      <c r="R24" s="6" t="n">
        <f aca="false">O24/C24</f>
        <v>5327.88377520042</v>
      </c>
      <c r="S24" s="6"/>
      <c r="T24" s="5" t="s">
        <v>95</v>
      </c>
      <c r="U24" s="5" t="s">
        <v>96</v>
      </c>
    </row>
    <row r="25" s="5" customFormat="true" ht="14.25" hidden="false" customHeight="true" outlineLevel="0" collapsed="false">
      <c r="A25" s="5" t="s">
        <v>138</v>
      </c>
      <c r="B25" s="5" t="s">
        <v>22</v>
      </c>
      <c r="C25" s="6" t="n">
        <v>8521357.71988942</v>
      </c>
      <c r="D25" s="7" t="n">
        <v>7987239.2084351</v>
      </c>
      <c r="E25" s="7" t="n">
        <v>9055476.23134374</v>
      </c>
      <c r="F25" s="6" t="n">
        <v>7734519.614668</v>
      </c>
      <c r="G25" s="7" t="n">
        <v>7359836.18463936</v>
      </c>
      <c r="H25" s="7" t="n">
        <v>8109203.04469663</v>
      </c>
      <c r="I25" s="6" t="n">
        <f aca="false">I28-I7</f>
        <v>269246.249381842</v>
      </c>
      <c r="J25" s="6" t="n">
        <f aca="false">J28-J7</f>
        <v>202108.026765579</v>
      </c>
      <c r="K25" s="6" t="n">
        <f aca="false">K28-K7</f>
        <v>377917.62013562</v>
      </c>
      <c r="L25" s="6" t="n">
        <f aca="false">L28-L7</f>
        <v>243985.050658024</v>
      </c>
      <c r="M25" s="6" t="n">
        <f aca="false">M28-M7</f>
        <v>181182.953552489</v>
      </c>
      <c r="N25" s="6" t="n">
        <f aca="false">N28-N7</f>
        <v>334569.153161375</v>
      </c>
      <c r="O25" s="5" t="n">
        <v>1452299713.46</v>
      </c>
      <c r="P25" s="5" t="n">
        <v>1274591332.08</v>
      </c>
      <c r="Q25" s="5" t="n">
        <v>1650307612.55</v>
      </c>
      <c r="R25" s="6" t="n">
        <f aca="false">O25/C25</f>
        <v>170.430553580709</v>
      </c>
    </row>
    <row r="26" s="5" customFormat="true" ht="14.25" hidden="false" customHeight="true" outlineLevel="0" collapsed="false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R26" s="6"/>
    </row>
    <row r="27" s="5" customFormat="true" ht="14.25" hidden="false" customHeight="true" outlineLevel="0" collapsed="false">
      <c r="B27" s="5" t="s">
        <v>107</v>
      </c>
      <c r="C27" s="6" t="n">
        <v>90289.83</v>
      </c>
      <c r="D27" s="6" t="n">
        <v>79877.55</v>
      </c>
      <c r="E27" s="6" t="n">
        <v>103577.92</v>
      </c>
      <c r="F27" s="6" t="n">
        <v>84663.65</v>
      </c>
      <c r="G27" s="6" t="n">
        <v>73123.86</v>
      </c>
      <c r="H27" s="6" t="n">
        <v>98009.16</v>
      </c>
      <c r="I27" s="6" t="n">
        <v>9570.65</v>
      </c>
      <c r="J27" s="6" t="n">
        <v>6512.42</v>
      </c>
      <c r="K27" s="6" t="n">
        <v>12718.87</v>
      </c>
      <c r="L27" s="6" t="n">
        <v>8884.16</v>
      </c>
      <c r="M27" s="6" t="n">
        <v>5931.21</v>
      </c>
      <c r="N27" s="6" t="n">
        <v>12270.72</v>
      </c>
      <c r="O27" s="6" t="n">
        <v>167417449.87</v>
      </c>
      <c r="P27" s="6" t="n">
        <v>141923004.5</v>
      </c>
      <c r="Q27" s="6" t="n">
        <v>192197321.55</v>
      </c>
      <c r="R27" s="6" t="n">
        <f aca="false">O27/C27</f>
        <v>1854.2226723652</v>
      </c>
      <c r="S27" s="6"/>
    </row>
    <row r="28" s="5" customFormat="true" ht="14.25" hidden="false" customHeight="true" outlineLevel="0" collapsed="false">
      <c r="B28" s="5" t="s">
        <v>109</v>
      </c>
      <c r="C28" s="6" t="n">
        <v>14115457.8576968</v>
      </c>
      <c r="D28" s="6" t="n">
        <v>12920050.5461831</v>
      </c>
      <c r="E28" s="6" t="n">
        <v>15356125.5379049</v>
      </c>
      <c r="F28" s="6" t="n">
        <v>12782301.9707658</v>
      </c>
      <c r="G28" s="6" t="n">
        <v>11722081.8378765</v>
      </c>
      <c r="H28" s="6" t="n">
        <v>13926876.9140135</v>
      </c>
      <c r="I28" s="6" t="n">
        <v>734674.573498341</v>
      </c>
      <c r="J28" s="6" t="n">
        <v>520702.212070535</v>
      </c>
      <c r="K28" s="6" t="n">
        <v>1007726.08452609</v>
      </c>
      <c r="L28" s="6" t="n">
        <v>655397.794869458</v>
      </c>
      <c r="M28" s="6" t="n">
        <v>465085.162578106</v>
      </c>
      <c r="N28" s="6" t="n">
        <v>890384.282363913</v>
      </c>
      <c r="O28" s="6" t="n">
        <f aca="false">O7+O25</f>
        <v>3697946712.77</v>
      </c>
      <c r="P28" s="6" t="n">
        <f aca="false">P7+P25</f>
        <v>3271291521.39</v>
      </c>
      <c r="Q28" s="6" t="n">
        <f aca="false">Q7+Q25</f>
        <v>4179282392.71</v>
      </c>
      <c r="R28" s="6"/>
      <c r="S28" s="6"/>
    </row>
    <row r="29" s="5" customFormat="true" ht="14.25" hidden="false" customHeight="true" outlineLevel="0" collapsed="false">
      <c r="B29" s="5" t="s">
        <v>108</v>
      </c>
      <c r="C29" s="6" t="n">
        <v>2261143.71</v>
      </c>
      <c r="D29" s="6" t="n">
        <v>1699732.93</v>
      </c>
      <c r="E29" s="6" t="n">
        <v>3070792.15</v>
      </c>
      <c r="F29" s="6" t="n">
        <v>1927115.88</v>
      </c>
      <c r="G29" s="6" t="n">
        <v>1331800.1</v>
      </c>
      <c r="H29" s="6" t="n">
        <v>2822677.21</v>
      </c>
      <c r="I29" s="6" t="n">
        <v>49860.1</v>
      </c>
      <c r="J29" s="6" t="n">
        <v>29682.21</v>
      </c>
      <c r="K29" s="6" t="n">
        <v>84375.63</v>
      </c>
      <c r="L29" s="6" t="n">
        <v>40526.15</v>
      </c>
      <c r="M29" s="6" t="n">
        <v>23622.09</v>
      </c>
      <c r="N29" s="6" t="n">
        <v>72265.22</v>
      </c>
      <c r="O29" s="6" t="n">
        <v>800484473.1</v>
      </c>
      <c r="P29" s="6" t="n">
        <v>707426314.72</v>
      </c>
      <c r="Q29" s="6" t="n">
        <v>912532672.48</v>
      </c>
      <c r="R29" s="6" t="n">
        <f aca="false">O29/C29</f>
        <v>354.01751315488</v>
      </c>
      <c r="S29" s="6"/>
    </row>
    <row r="30" s="5" customFormat="true" ht="14.25" hidden="false" customHeight="true" outlineLevel="0" collapsed="false">
      <c r="B30" s="5" t="s">
        <v>131</v>
      </c>
      <c r="C30" s="6" t="n">
        <v>6035001.10704733</v>
      </c>
      <c r="D30" s="6" t="n">
        <v>5269617.41496412</v>
      </c>
      <c r="E30" s="6" t="n">
        <v>6979985.57463789</v>
      </c>
      <c r="F30" s="6" t="n">
        <v>5556738.25695751</v>
      </c>
      <c r="G30" s="6" t="n">
        <v>4860376.31100849</v>
      </c>
      <c r="H30" s="6" t="n">
        <v>6474478.4169205</v>
      </c>
      <c r="I30" s="6" t="n">
        <v>215188.130189698</v>
      </c>
      <c r="J30" s="6" t="n">
        <v>103236.494436415</v>
      </c>
      <c r="K30" s="6" t="n">
        <v>467194.87233227</v>
      </c>
      <c r="L30" s="6" t="n">
        <v>197080.215470806</v>
      </c>
      <c r="M30" s="6" t="n">
        <v>95050.9093163908</v>
      </c>
      <c r="N30" s="6" t="n">
        <v>432172.99016101</v>
      </c>
      <c r="O30" s="6" t="n">
        <v>5026081717.78</v>
      </c>
      <c r="P30" s="6" t="n">
        <v>4340389095.64</v>
      </c>
      <c r="Q30" s="6" t="n">
        <v>5829567872.4</v>
      </c>
      <c r="R30" s="6" t="n">
        <f aca="false">O30/C30</f>
        <v>832.82200427616</v>
      </c>
      <c r="S30" s="6"/>
      <c r="T30" s="5" t="s">
        <v>95</v>
      </c>
      <c r="U30" s="5" t="s">
        <v>96</v>
      </c>
    </row>
    <row r="33" customFormat="false" ht="14.25" hidden="false" customHeight="true" outlineLevel="0" collapsed="false">
      <c r="D33" s="1" t="s">
        <v>125</v>
      </c>
      <c r="E33" s="1" t="n">
        <f aca="false">C7/C28</f>
        <v>0.71332600337777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5.44"/>
    <col collapsed="false" customWidth="true" hidden="false" outlineLevel="0" max="3" min="3" style="1" width="19.11"/>
    <col collapsed="false" customWidth="true" hidden="false" outlineLevel="0" max="4" min="4" style="1" width="16.44"/>
    <col collapsed="false" customWidth="true" hidden="false" outlineLevel="0" max="5" min="5" style="1" width="17.22"/>
    <col collapsed="false" customWidth="true" hidden="false" outlineLevel="0" max="6" min="6" style="1" width="17.44"/>
    <col collapsed="false" customWidth="true" hidden="false" outlineLevel="0" max="7" min="7" style="1" width="11.56"/>
    <col collapsed="false" customWidth="true" hidden="false" outlineLevel="0" max="8" min="8" style="1" width="14.88"/>
    <col collapsed="false" customWidth="true" hidden="false" outlineLevel="0" max="9" min="9" style="1" width="10.56"/>
    <col collapsed="false" customWidth="true" hidden="false" outlineLevel="0" max="14" min="10" style="1" width="9.56"/>
    <col collapsed="false" customWidth="true" hidden="false" outlineLevel="0" max="17" min="15" style="1" width="14.67"/>
    <col collapsed="false" customWidth="true" hidden="false" outlineLevel="0" max="18" min="18" style="1" width="9.56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16" t="s">
        <v>74</v>
      </c>
      <c r="D1" s="16" t="s">
        <v>75</v>
      </c>
      <c r="E1" s="16" t="s">
        <v>76</v>
      </c>
      <c r="F1" s="16" t="s">
        <v>77</v>
      </c>
      <c r="G1" s="16" t="s">
        <v>78</v>
      </c>
      <c r="H1" s="16" t="s">
        <v>79</v>
      </c>
      <c r="I1" s="16" t="s">
        <v>80</v>
      </c>
      <c r="J1" s="16" t="s">
        <v>81</v>
      </c>
      <c r="K1" s="16" t="s">
        <v>82</v>
      </c>
      <c r="L1" s="16" t="s">
        <v>83</v>
      </c>
      <c r="M1" s="16" t="s">
        <v>84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6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139</v>
      </c>
      <c r="B2" s="5" t="s">
        <v>19</v>
      </c>
      <c r="C2" s="6" t="n">
        <v>348315.628728438</v>
      </c>
      <c r="D2" s="6" t="n">
        <v>273496.174616151</v>
      </c>
      <c r="E2" s="6" t="n">
        <v>441886.230421623</v>
      </c>
      <c r="F2" s="6" t="n">
        <v>402816.314198873</v>
      </c>
      <c r="G2" s="6" t="n">
        <v>314949.923236264</v>
      </c>
      <c r="H2" s="6" t="n">
        <v>513602.648238864</v>
      </c>
      <c r="I2" s="6" t="n">
        <v>66017.5279034424</v>
      </c>
      <c r="J2" s="6" t="n">
        <v>45018.6993980626</v>
      </c>
      <c r="K2" s="6" t="n">
        <v>90549.6671136838</v>
      </c>
      <c r="L2" s="6" t="n">
        <v>76027.8105245486</v>
      </c>
      <c r="M2" s="6" t="n">
        <v>51524.854919645</v>
      </c>
      <c r="N2" s="6" t="n">
        <v>105205.652276437</v>
      </c>
      <c r="O2" s="6" t="n">
        <v>3597022632.38</v>
      </c>
      <c r="P2" s="6" t="n">
        <v>3275738757.04</v>
      </c>
      <c r="Q2" s="6" t="n">
        <v>3994467656.11</v>
      </c>
      <c r="R2" s="6" t="n">
        <f aca="false">O2/C2</f>
        <v>10326.9056444906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139</v>
      </c>
      <c r="B3" s="5" t="s">
        <v>94</v>
      </c>
      <c r="C3" s="6" t="n">
        <v>7854.21968688541</v>
      </c>
      <c r="D3" s="6" t="n">
        <v>5366.55516619931</v>
      </c>
      <c r="E3" s="6" t="n">
        <v>11951.4199755132</v>
      </c>
      <c r="F3" s="6" t="n">
        <v>8807.8053726768</v>
      </c>
      <c r="G3" s="6" t="n">
        <v>5909.75202127487</v>
      </c>
      <c r="H3" s="6" t="n">
        <v>13717.9772661324</v>
      </c>
      <c r="I3" s="6" t="n">
        <v>1263.77897672222</v>
      </c>
      <c r="J3" s="6" t="n">
        <v>783.221132519126</v>
      </c>
      <c r="K3" s="6" t="n">
        <v>1797.92977626749</v>
      </c>
      <c r="L3" s="6" t="n">
        <v>1412.47302023298</v>
      </c>
      <c r="M3" s="6" t="n">
        <v>912.963709358679</v>
      </c>
      <c r="N3" s="6" t="n">
        <v>2051.13433115491</v>
      </c>
      <c r="O3" s="6" t="n">
        <v>807668753.76</v>
      </c>
      <c r="P3" s="6" t="n">
        <v>700284595.03</v>
      </c>
      <c r="Q3" s="6" t="n">
        <v>940092561.46</v>
      </c>
      <c r="R3" s="6" t="n">
        <f aca="false">O3/C3</f>
        <v>102832.462798132</v>
      </c>
      <c r="S3" s="6"/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139</v>
      </c>
      <c r="B4" s="5" t="s">
        <v>119</v>
      </c>
      <c r="C4" s="6" t="n">
        <v>71643.8920180513</v>
      </c>
      <c r="D4" s="6" t="n">
        <v>54961.6914602014</v>
      </c>
      <c r="E4" s="6" t="n">
        <v>86951.574806728</v>
      </c>
      <c r="F4" s="6" t="n">
        <v>80775.3495956069</v>
      </c>
      <c r="G4" s="6" t="n">
        <v>61540.5988876758</v>
      </c>
      <c r="H4" s="6" t="n">
        <v>98906.7462629662</v>
      </c>
      <c r="I4" s="6" t="n">
        <v>5680.68874101887</v>
      </c>
      <c r="J4" s="6" t="n">
        <v>3510.17827519148</v>
      </c>
      <c r="K4" s="6" t="n">
        <v>8001.4176328935</v>
      </c>
      <c r="L4" s="6" t="n">
        <v>6367.63020780314</v>
      </c>
      <c r="M4" s="6" t="n">
        <v>4047.35495686121</v>
      </c>
      <c r="N4" s="6" t="n">
        <v>9037.60787141001</v>
      </c>
      <c r="O4" s="6" t="n">
        <v>774621689.14</v>
      </c>
      <c r="P4" s="6" t="n">
        <v>662478185.71</v>
      </c>
      <c r="Q4" s="6" t="n">
        <v>889447815</v>
      </c>
      <c r="R4" s="6" t="n">
        <f aca="false">O4/C4</f>
        <v>10812.1106673661</v>
      </c>
      <c r="S4" s="6"/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139</v>
      </c>
      <c r="B5" s="5" t="s">
        <v>122</v>
      </c>
      <c r="C5" s="6" t="n">
        <v>5038930.22934154</v>
      </c>
      <c r="D5" s="6" t="n">
        <v>4708854.19316946</v>
      </c>
      <c r="E5" s="6" t="n">
        <v>5366723.94476737</v>
      </c>
      <c r="F5" s="6" t="n">
        <v>5949780.28708861</v>
      </c>
      <c r="G5" s="6" t="n">
        <v>5506489.44200958</v>
      </c>
      <c r="H5" s="6" t="n">
        <v>6400426.33695602</v>
      </c>
      <c r="I5" s="6" t="n">
        <v>396029.851629782</v>
      </c>
      <c r="J5" s="6" t="n">
        <v>278749.284114001</v>
      </c>
      <c r="K5" s="6" t="n">
        <v>543293.095690949</v>
      </c>
      <c r="L5" s="6" t="n">
        <v>466976.91925857</v>
      </c>
      <c r="M5" s="6" t="n">
        <v>323617.036550294</v>
      </c>
      <c r="N5" s="6" t="n">
        <v>645283.939490951</v>
      </c>
      <c r="O5" s="6" t="n">
        <v>75317363546.46</v>
      </c>
      <c r="P5" s="6" t="n">
        <v>66482274104.61</v>
      </c>
      <c r="Q5" s="6" t="n">
        <v>84756440613.24</v>
      </c>
      <c r="R5" s="6" t="n">
        <f aca="false">O5/C5</f>
        <v>14947.0939501979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139</v>
      </c>
      <c r="B6" s="5" t="s">
        <v>26</v>
      </c>
      <c r="C6" s="6" t="n">
        <v>14411038.9916701</v>
      </c>
      <c r="D6" s="6" t="n">
        <v>12068362.5255403</v>
      </c>
      <c r="E6" s="6" t="n">
        <v>17378084.6849786</v>
      </c>
      <c r="F6" s="6" t="n">
        <v>15123449.2899423</v>
      </c>
      <c r="G6" s="6" t="n">
        <v>12639965.8350048</v>
      </c>
      <c r="H6" s="6" t="n">
        <v>18280593.9799119</v>
      </c>
      <c r="I6" s="6" t="n">
        <v>640828.74864028</v>
      </c>
      <c r="J6" s="6" t="n">
        <v>460079.694100596</v>
      </c>
      <c r="K6" s="6" t="n">
        <v>885486.594959116</v>
      </c>
      <c r="L6" s="6" t="n">
        <v>669284.656346003</v>
      </c>
      <c r="M6" s="6" t="n">
        <v>486664.526273971</v>
      </c>
      <c r="N6" s="6" t="n">
        <v>931571.03187231</v>
      </c>
      <c r="O6" s="6" t="n">
        <v>3977979008.36</v>
      </c>
      <c r="P6" s="6" t="n">
        <v>3579295811.68</v>
      </c>
      <c r="Q6" s="6" t="n">
        <v>4437291818.29</v>
      </c>
      <c r="R6" s="6" t="n">
        <f aca="false">O6/C6</f>
        <v>276.036933260632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139</v>
      </c>
      <c r="B7" s="5" t="s">
        <v>9</v>
      </c>
      <c r="C7" s="6" t="n">
        <v>1138999.37196027</v>
      </c>
      <c r="D7" s="6" t="n">
        <v>861303.752257647</v>
      </c>
      <c r="E7" s="6" t="n">
        <v>1460970.29550702</v>
      </c>
      <c r="F7" s="6" t="n">
        <v>1096507.77116044</v>
      </c>
      <c r="G7" s="6" t="n">
        <v>739876.766939841</v>
      </c>
      <c r="H7" s="6" t="n">
        <v>1512022.00150276</v>
      </c>
      <c r="I7" s="6" t="n">
        <v>33261.6030970069</v>
      </c>
      <c r="J7" s="6" t="n">
        <v>21825.8255175952</v>
      </c>
      <c r="K7" s="6" t="n">
        <v>48811.1862685275</v>
      </c>
      <c r="L7" s="6" t="n">
        <v>31963.813627549</v>
      </c>
      <c r="M7" s="6" t="n">
        <v>19205.2796056804</v>
      </c>
      <c r="N7" s="6" t="n">
        <v>47835.4846142102</v>
      </c>
      <c r="O7" s="6" t="n">
        <v>271680999.27</v>
      </c>
      <c r="P7" s="6" t="n">
        <v>236141863.07</v>
      </c>
      <c r="Q7" s="6" t="n">
        <v>309894959.57</v>
      </c>
      <c r="R7" s="6" t="n">
        <f aca="false">O7/C7</f>
        <v>238.526030793524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139</v>
      </c>
      <c r="B8" s="5" t="s">
        <v>22</v>
      </c>
      <c r="C8" s="6" t="n">
        <v>7850495.09448923</v>
      </c>
      <c r="D8" s="7" t="n">
        <v>6361968.06585039</v>
      </c>
      <c r="E8" s="7" t="n">
        <v>9339022.12312808</v>
      </c>
      <c r="F8" s="6" t="n">
        <v>8477102.1669119</v>
      </c>
      <c r="G8" s="7" t="n">
        <v>6691691.20342612</v>
      </c>
      <c r="H8" s="7" t="n">
        <v>10262513.1303977</v>
      </c>
      <c r="I8" s="6" t="n">
        <f aca="false">I27-I6</f>
        <v>243270.894223147</v>
      </c>
      <c r="J8" s="6" t="n">
        <f aca="false">J27-J6</f>
        <v>176213.361194421</v>
      </c>
      <c r="K8" s="6" t="n">
        <f aca="false">K27-K6</f>
        <v>309545.225756914</v>
      </c>
      <c r="L8" s="6" t="n">
        <f aca="false">L27-L6</f>
        <v>260805.536208868</v>
      </c>
      <c r="M8" s="6" t="n">
        <f aca="false">M27-M6</f>
        <v>186820.275418854</v>
      </c>
      <c r="N8" s="6" t="n">
        <f aca="false">N27-N6</f>
        <v>329538.30279616</v>
      </c>
      <c r="O8" s="5" t="n">
        <v>959864860.05</v>
      </c>
      <c r="P8" s="5" t="n">
        <v>865283313.5</v>
      </c>
      <c r="Q8" s="5" t="n">
        <v>1067316183.61</v>
      </c>
      <c r="R8" s="6" t="n">
        <f aca="false">O8/C8</f>
        <v>122.268066981379</v>
      </c>
    </row>
    <row r="9" s="5" customFormat="true" ht="14.25" hidden="false" customHeight="true" outlineLevel="0" collapsed="false">
      <c r="A9" s="5" t="s">
        <v>139</v>
      </c>
      <c r="B9" s="5" t="s">
        <v>120</v>
      </c>
      <c r="C9" s="6" t="n">
        <v>3924143.56639613</v>
      </c>
      <c r="D9" s="6" t="n">
        <v>3213311.56237262</v>
      </c>
      <c r="E9" s="6" t="n">
        <v>4652930.90119441</v>
      </c>
      <c r="F9" s="6" t="n">
        <v>4270049.85790378</v>
      </c>
      <c r="G9" s="6" t="n">
        <v>3508149.16328295</v>
      </c>
      <c r="H9" s="6" t="n">
        <v>5061542.53116683</v>
      </c>
      <c r="I9" s="6" t="n">
        <v>416521.054967382</v>
      </c>
      <c r="J9" s="6" t="n">
        <v>278606.823180862</v>
      </c>
      <c r="K9" s="6" t="n">
        <v>553223.756835377</v>
      </c>
      <c r="L9" s="6" t="n">
        <v>452032.952295846</v>
      </c>
      <c r="M9" s="6" t="n">
        <v>302415.145021707</v>
      </c>
      <c r="N9" s="6" t="n">
        <v>606341.592725182</v>
      </c>
      <c r="O9" s="6" t="n">
        <v>7374548121.48</v>
      </c>
      <c r="P9" s="6" t="n">
        <v>6681034737.23</v>
      </c>
      <c r="Q9" s="6" t="n">
        <v>8164420048.77</v>
      </c>
      <c r="R9" s="6" t="n">
        <f aca="false">O9/C9</f>
        <v>1879.27582075002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139</v>
      </c>
      <c r="B10" s="5" t="s">
        <v>134</v>
      </c>
      <c r="C10" s="6" t="n">
        <v>1582979.44798352</v>
      </c>
      <c r="D10" s="6" t="n">
        <v>1329557.81221712</v>
      </c>
      <c r="E10" s="6" t="n">
        <v>1926628.37809568</v>
      </c>
      <c r="F10" s="6" t="n">
        <v>1528835.8251494</v>
      </c>
      <c r="G10" s="6" t="n">
        <v>1172256.94802437</v>
      </c>
      <c r="H10" s="6" t="n">
        <v>2060118.04753571</v>
      </c>
      <c r="I10" s="6" t="n">
        <v>6587.96810601007</v>
      </c>
      <c r="J10" s="6" t="n">
        <v>2732.45373474276</v>
      </c>
      <c r="K10" s="6" t="n">
        <v>12379.5574468836</v>
      </c>
      <c r="L10" s="6" t="n">
        <v>6384.18830115326</v>
      </c>
      <c r="M10" s="6" t="n">
        <v>2593.87671795539</v>
      </c>
      <c r="N10" s="6" t="n">
        <v>12551.9360706152</v>
      </c>
      <c r="O10" s="6" t="n">
        <v>1661991041.73</v>
      </c>
      <c r="P10" s="6" t="n">
        <v>1381239048.73</v>
      </c>
      <c r="Q10" s="6" t="n">
        <v>1952356032.8</v>
      </c>
      <c r="R10" s="6" t="n">
        <f aca="false">O10/C10</f>
        <v>1049.91321513816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139</v>
      </c>
      <c r="B11" s="5" t="s">
        <v>98</v>
      </c>
      <c r="C11" s="6" t="n">
        <v>1907.35373766355</v>
      </c>
      <c r="D11" s="6" t="n">
        <v>1591.23214797572</v>
      </c>
      <c r="E11" s="6" t="n">
        <v>2285.94675218355</v>
      </c>
      <c r="F11" s="6" t="n">
        <v>2125.11116784324</v>
      </c>
      <c r="G11" s="6" t="n">
        <v>1691.35855279924</v>
      </c>
      <c r="H11" s="6" t="n">
        <v>2753.26498718457</v>
      </c>
      <c r="I11" s="6" t="n">
        <v>208.714772333936</v>
      </c>
      <c r="J11" s="6" t="n">
        <v>138.975730971822</v>
      </c>
      <c r="K11" s="6" t="n">
        <v>305.001965397517</v>
      </c>
      <c r="L11" s="6" t="n">
        <v>232.308558885445</v>
      </c>
      <c r="M11" s="6" t="n">
        <v>153.491381417203</v>
      </c>
      <c r="N11" s="6" t="n">
        <v>352.497726341552</v>
      </c>
      <c r="O11" s="6" t="n">
        <v>742382202.67</v>
      </c>
      <c r="P11" s="6" t="n">
        <v>633670089.74</v>
      </c>
      <c r="Q11" s="6" t="n">
        <v>870562971.06</v>
      </c>
      <c r="R11" s="6" t="n">
        <f aca="false">O11/C11</f>
        <v>389221.038557533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139</v>
      </c>
      <c r="B12" s="5" t="s">
        <v>44</v>
      </c>
      <c r="C12" s="6" t="n">
        <v>5172.26263404302</v>
      </c>
      <c r="D12" s="6" t="n">
        <v>4317.55999975816</v>
      </c>
      <c r="E12" s="6" t="n">
        <v>6221.41619073078</v>
      </c>
      <c r="F12" s="6" t="n">
        <v>5719.83907425489</v>
      </c>
      <c r="G12" s="6" t="n">
        <v>4649.07292549827</v>
      </c>
      <c r="H12" s="6" t="n">
        <v>7089.60698335306</v>
      </c>
      <c r="I12" s="6" t="n">
        <v>1099.14649425792</v>
      </c>
      <c r="J12" s="6" t="n">
        <v>769.67037002879</v>
      </c>
      <c r="K12" s="6" t="n">
        <v>1523.10166289187</v>
      </c>
      <c r="L12" s="6" t="n">
        <v>1215.49772089652</v>
      </c>
      <c r="M12" s="6" t="n">
        <v>843.478131473144</v>
      </c>
      <c r="N12" s="6" t="n">
        <v>1677.89852847324</v>
      </c>
      <c r="O12" s="6" t="n">
        <v>338945110.44</v>
      </c>
      <c r="P12" s="6" t="n">
        <v>273291183.03</v>
      </c>
      <c r="Q12" s="6" t="n">
        <v>408515964.42</v>
      </c>
      <c r="R12" s="6" t="n">
        <f aca="false">O12/C12</f>
        <v>65531.3031107733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139</v>
      </c>
      <c r="B13" s="5" t="s">
        <v>12</v>
      </c>
      <c r="C13" s="6" t="n">
        <v>36676.7625680318</v>
      </c>
      <c r="D13" s="6" t="n">
        <v>34334.6365838437</v>
      </c>
      <c r="E13" s="6" t="n">
        <v>39387.1344559779</v>
      </c>
      <c r="F13" s="6" t="n">
        <v>41031.1826747939</v>
      </c>
      <c r="G13" s="6" t="n">
        <v>38272.0148305838</v>
      </c>
      <c r="H13" s="6" t="n">
        <v>44206.1690367592</v>
      </c>
      <c r="I13" s="6" t="n">
        <v>8487.86691314444</v>
      </c>
      <c r="J13" s="6" t="n">
        <v>6341.40090338916</v>
      </c>
      <c r="K13" s="6" t="n">
        <v>10665.6152392194</v>
      </c>
      <c r="L13" s="6" t="n">
        <v>9467.02673292029</v>
      </c>
      <c r="M13" s="6" t="n">
        <v>6957.03248981709</v>
      </c>
      <c r="N13" s="6" t="n">
        <v>12209.7600280055</v>
      </c>
      <c r="O13" s="6" t="n">
        <v>2046146320.28</v>
      </c>
      <c r="P13" s="6" t="n">
        <v>1720496371.7</v>
      </c>
      <c r="Q13" s="6" t="n">
        <v>2393701393.19</v>
      </c>
      <c r="R13" s="6" t="n">
        <f aca="false">O13/C13</f>
        <v>55788.6295576006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139</v>
      </c>
      <c r="B14" s="5" t="s">
        <v>113</v>
      </c>
      <c r="C14" s="6" t="n">
        <v>584230.936437208</v>
      </c>
      <c r="D14" s="6" t="n">
        <v>333723.382388672</v>
      </c>
      <c r="E14" s="6" t="n">
        <v>909782.805758886</v>
      </c>
      <c r="F14" s="6" t="n">
        <v>639458.685093601</v>
      </c>
      <c r="G14" s="6" t="n">
        <v>367830.238677917</v>
      </c>
      <c r="H14" s="6" t="n">
        <v>967854.339574562</v>
      </c>
      <c r="I14" s="6" t="n">
        <v>53966.5452975914</v>
      </c>
      <c r="J14" s="6" t="n">
        <v>28632.1941888172</v>
      </c>
      <c r="K14" s="6" t="n">
        <v>88036.3384871276</v>
      </c>
      <c r="L14" s="6" t="n">
        <v>58923.1738338872</v>
      </c>
      <c r="M14" s="6" t="n">
        <v>31921.5990991139</v>
      </c>
      <c r="N14" s="6" t="n">
        <v>97680.7126055227</v>
      </c>
      <c r="O14" s="6" t="n">
        <v>2233397374.24</v>
      </c>
      <c r="P14" s="6" t="n">
        <v>1978196000.04</v>
      </c>
      <c r="Q14" s="6" t="n">
        <v>2539955856.25</v>
      </c>
      <c r="R14" s="6" t="n">
        <f aca="false">O14/C14</f>
        <v>3822.79888815857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139</v>
      </c>
      <c r="B15" s="5" t="s">
        <v>64</v>
      </c>
      <c r="C15" s="6" t="n">
        <v>2750564.03567956</v>
      </c>
      <c r="D15" s="6" t="n">
        <v>1997955.66932735</v>
      </c>
      <c r="E15" s="6" t="n">
        <v>3617814.58485592</v>
      </c>
      <c r="F15" s="6" t="n">
        <v>2801674.06175981</v>
      </c>
      <c r="G15" s="6" t="n">
        <v>2026281.77524486</v>
      </c>
      <c r="H15" s="6" t="n">
        <v>3679169.49929648</v>
      </c>
      <c r="I15" s="6" t="n">
        <v>85931.6705501193</v>
      </c>
      <c r="J15" s="6" t="n">
        <v>38724.5705976023</v>
      </c>
      <c r="K15" s="6" t="n">
        <v>188827.003983206</v>
      </c>
      <c r="L15" s="6" t="n">
        <v>87308.2434264171</v>
      </c>
      <c r="M15" s="6" t="n">
        <v>39461.3257772669</v>
      </c>
      <c r="N15" s="6" t="n">
        <v>192100.96761587</v>
      </c>
      <c r="O15" s="6" t="n">
        <f aca="false">S15*O28</f>
        <v>2994167499.86023</v>
      </c>
      <c r="P15" s="6" t="n">
        <f aca="false">S15*P28</f>
        <v>2580500137.6755</v>
      </c>
      <c r="Q15" s="6" t="n">
        <f aca="false">S15*Q28</f>
        <v>3428800333.34308</v>
      </c>
      <c r="R15" s="6" t="n">
        <f aca="false">O15/C15</f>
        <v>1088.56491287631</v>
      </c>
      <c r="S15" s="6" t="n">
        <f aca="false">C15/MAX(C28,C15+C16+C17+C18)</f>
        <v>0.331533735687833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139</v>
      </c>
      <c r="B16" s="5" t="s">
        <v>128</v>
      </c>
      <c r="C16" s="6" t="n">
        <v>797911.529176885</v>
      </c>
      <c r="D16" s="6" t="n">
        <v>612518.343330076</v>
      </c>
      <c r="E16" s="6" t="n">
        <v>1006931.53173167</v>
      </c>
      <c r="F16" s="6" t="n">
        <v>877646.957984031</v>
      </c>
      <c r="G16" s="6" t="n">
        <v>657471.969243254</v>
      </c>
      <c r="H16" s="6" t="n">
        <v>1135473.36970135</v>
      </c>
      <c r="I16" s="6" t="n">
        <v>24722.0064552149</v>
      </c>
      <c r="J16" s="6" t="n">
        <v>11803.0088187828</v>
      </c>
      <c r="K16" s="6" t="n">
        <v>52076.7304030425</v>
      </c>
      <c r="L16" s="6" t="n">
        <v>27149.5499775837</v>
      </c>
      <c r="M16" s="6" t="n">
        <v>12629.2986788458</v>
      </c>
      <c r="N16" s="6" t="n">
        <v>55988.6693412381</v>
      </c>
      <c r="O16" s="6" t="n">
        <f aca="false">S16*O28</f>
        <v>868578494.241439</v>
      </c>
      <c r="P16" s="6" t="n">
        <f aca="false">S16*P28</f>
        <v>748577667.774646</v>
      </c>
      <c r="Q16" s="6" t="n">
        <f aca="false">S16*Q28</f>
        <v>994661197.387486</v>
      </c>
      <c r="R16" s="6" t="n">
        <f aca="false">O16/C16</f>
        <v>1088.56491287631</v>
      </c>
      <c r="S16" s="6" t="n">
        <f aca="false">C16/MAX(C28,C15+C16+C17+C18)</f>
        <v>0.0961746705711752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139</v>
      </c>
      <c r="B17" s="5" t="s">
        <v>129</v>
      </c>
      <c r="C17" s="6" t="n">
        <v>4149466.19932425</v>
      </c>
      <c r="D17" s="6" t="n">
        <v>3488056.38979825</v>
      </c>
      <c r="E17" s="6" t="n">
        <v>4929620.51843952</v>
      </c>
      <c r="F17" s="6" t="n">
        <v>4596745.99612986</v>
      </c>
      <c r="G17" s="6" t="n">
        <v>3809899.32120297</v>
      </c>
      <c r="H17" s="6" t="n">
        <v>5581975.15091305</v>
      </c>
      <c r="I17" s="6" t="n">
        <v>129429.453206483</v>
      </c>
      <c r="J17" s="6" t="n">
        <v>62177.4022487032</v>
      </c>
      <c r="K17" s="6" t="n">
        <v>279230.677412218</v>
      </c>
      <c r="L17" s="6" t="n">
        <v>143074.205952775</v>
      </c>
      <c r="M17" s="6" t="n">
        <v>67368.8486510331</v>
      </c>
      <c r="N17" s="6" t="n">
        <v>309547.133750546</v>
      </c>
      <c r="O17" s="6" t="n">
        <f aca="false">S17*O28</f>
        <v>4516963311.7506</v>
      </c>
      <c r="P17" s="6" t="n">
        <f aca="false">S17*P28</f>
        <v>3892909948.55556</v>
      </c>
      <c r="Q17" s="6" t="n">
        <f aca="false">S17*Q28</f>
        <v>5172644920.41673</v>
      </c>
      <c r="R17" s="6" t="n">
        <f aca="false">O17/C17</f>
        <v>1088.56491287631</v>
      </c>
      <c r="S17" s="6" t="n">
        <f aca="false">C17/MAX(C28,C15+C16+C17+C18)</f>
        <v>0.50014761057271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139</v>
      </c>
      <c r="B18" s="5" t="s">
        <v>130</v>
      </c>
      <c r="C18" s="6" t="n">
        <v>598541.337223649</v>
      </c>
      <c r="D18" s="6" t="n">
        <v>478187.002360198</v>
      </c>
      <c r="E18" s="6" t="n">
        <v>747519.869288693</v>
      </c>
      <c r="F18" s="6" t="n">
        <v>655894.131877081</v>
      </c>
      <c r="G18" s="6" t="n">
        <v>525386.601181663</v>
      </c>
      <c r="H18" s="6" t="n">
        <v>818418.548173163</v>
      </c>
      <c r="I18" s="6" t="n">
        <v>18586.0249737501</v>
      </c>
      <c r="J18" s="6" t="n">
        <v>8949.19234057378</v>
      </c>
      <c r="K18" s="6" t="n">
        <v>40181.516578667</v>
      </c>
      <c r="L18" s="6" t="n">
        <v>20318.090172587</v>
      </c>
      <c r="M18" s="6" t="n">
        <v>9671.97744055627</v>
      </c>
      <c r="N18" s="6" t="n">
        <v>44071.6810212735</v>
      </c>
      <c r="O18" s="6" t="n">
        <f aca="false">S18*O28</f>
        <v>651551098.607732</v>
      </c>
      <c r="P18" s="6" t="n">
        <f aca="false">S18*P28</f>
        <v>561534282.814292</v>
      </c>
      <c r="Q18" s="6" t="n">
        <f aca="false">S18*Q28</f>
        <v>746130142.752709</v>
      </c>
      <c r="R18" s="6" t="n">
        <f aca="false">O18/C18</f>
        <v>1088.56491287631</v>
      </c>
      <c r="S18" s="6" t="n">
        <f aca="false">C18/MAX(C28,C15+C16+C17+C18)</f>
        <v>0.0721439831682818</v>
      </c>
      <c r="T18" s="5" t="s">
        <v>95</v>
      </c>
      <c r="U18" s="5" t="s">
        <v>96</v>
      </c>
    </row>
    <row r="19" customFormat="false" ht="14.25" hidden="false" customHeight="true" outlineLevel="0" collapsed="false">
      <c r="A19" s="1" t="s">
        <v>139</v>
      </c>
      <c r="B19" s="1" t="s">
        <v>110</v>
      </c>
      <c r="C19" s="12" t="n">
        <v>3808017.56974463</v>
      </c>
      <c r="D19" s="12" t="n">
        <v>3140415.09295955</v>
      </c>
      <c r="E19" s="12" t="n">
        <v>4532316.65160916</v>
      </c>
      <c r="F19" s="12" t="n">
        <v>4243764.7186779</v>
      </c>
      <c r="G19" s="12" t="n">
        <v>3507231.95747184</v>
      </c>
      <c r="H19" s="12" t="n">
        <v>5013834.88197524</v>
      </c>
      <c r="I19" s="12" t="n">
        <v>304193.714148154</v>
      </c>
      <c r="J19" s="12" t="n">
        <v>200269.179261679</v>
      </c>
      <c r="K19" s="12" t="n">
        <v>424091.795254719</v>
      </c>
      <c r="L19" s="12" t="n">
        <v>337951.692171819</v>
      </c>
      <c r="M19" s="12" t="n">
        <v>223313.147438356</v>
      </c>
      <c r="N19" s="12" t="n">
        <v>469279.13694563</v>
      </c>
      <c r="O19" s="12" t="n">
        <v>5841849420.49</v>
      </c>
      <c r="P19" s="12" t="n">
        <v>5159606689.45</v>
      </c>
      <c r="Q19" s="12" t="n">
        <v>6643499431.63</v>
      </c>
      <c r="R19" s="6" t="n">
        <f aca="false">O19/C19</f>
        <v>1534.09203437099</v>
      </c>
      <c r="S19" s="12"/>
      <c r="T19" s="1" t="s">
        <v>95</v>
      </c>
      <c r="U19" s="1" t="s">
        <v>96</v>
      </c>
    </row>
    <row r="20" s="5" customFormat="true" ht="14.25" hidden="false" customHeight="true" outlineLevel="0" collapsed="false">
      <c r="A20" s="5" t="s">
        <v>139</v>
      </c>
      <c r="B20" s="5" t="s">
        <v>135</v>
      </c>
      <c r="C20" s="6" t="n">
        <v>108870.671973666</v>
      </c>
      <c r="D20" s="6" t="n">
        <v>94707.7077565621</v>
      </c>
      <c r="E20" s="6" t="n">
        <v>126263.908234091</v>
      </c>
      <c r="F20" s="6" t="n">
        <v>123141.434570042</v>
      </c>
      <c r="G20" s="6" t="n">
        <v>105549.064243736</v>
      </c>
      <c r="H20" s="6" t="n">
        <v>143969.516247687</v>
      </c>
      <c r="I20" s="6" t="n">
        <v>15245.5191326814</v>
      </c>
      <c r="J20" s="6" t="n">
        <v>10921.4527270741</v>
      </c>
      <c r="K20" s="6" t="n">
        <v>20732.4385953392</v>
      </c>
      <c r="L20" s="6" t="n">
        <v>17147.7326435155</v>
      </c>
      <c r="M20" s="6" t="n">
        <v>11825.1235284465</v>
      </c>
      <c r="N20" s="6" t="n">
        <v>22941.6131160958</v>
      </c>
      <c r="O20" s="6" t="n">
        <v>895918322.25</v>
      </c>
      <c r="P20" s="6" t="n">
        <v>775232421.6</v>
      </c>
      <c r="Q20" s="6" t="n">
        <v>1032280565.32</v>
      </c>
      <c r="R20" s="6" t="n">
        <f aca="false">O20/C20</f>
        <v>8229.19805681651</v>
      </c>
      <c r="S20" s="6"/>
      <c r="T20" s="5" t="s">
        <v>95</v>
      </c>
      <c r="U20" s="5" t="s">
        <v>96</v>
      </c>
    </row>
    <row r="21" s="5" customFormat="true" ht="14.25" hidden="false" customHeight="true" outlineLevel="0" collapsed="false">
      <c r="A21" s="5" t="s">
        <v>139</v>
      </c>
      <c r="B21" s="5" t="s">
        <v>5</v>
      </c>
      <c r="C21" s="6" t="n">
        <v>399302.27</v>
      </c>
      <c r="D21" s="6" t="n">
        <v>306624.13</v>
      </c>
      <c r="E21" s="6" t="n">
        <v>503671.88</v>
      </c>
      <c r="F21" s="6" t="n">
        <v>336909.04</v>
      </c>
      <c r="G21" s="6" t="n">
        <v>261376.05</v>
      </c>
      <c r="H21" s="6" t="n">
        <v>433190.81</v>
      </c>
      <c r="I21" s="6" t="n">
        <v>13716.78</v>
      </c>
      <c r="J21" s="6" t="n">
        <v>7072.81</v>
      </c>
      <c r="K21" s="6" t="n">
        <v>22746.54</v>
      </c>
      <c r="L21" s="6" t="n">
        <v>11987.47</v>
      </c>
      <c r="M21" s="6" t="n">
        <v>5937.68</v>
      </c>
      <c r="N21" s="6" t="n">
        <v>20158.01</v>
      </c>
      <c r="O21" s="6" t="n">
        <f aca="false">S21*O26</f>
        <v>390914600.589683</v>
      </c>
      <c r="P21" s="6" t="n">
        <f aca="false">S21*P26</f>
        <v>347566941.473328</v>
      </c>
      <c r="Q21" s="6" t="n">
        <f aca="false">S21*Q26</f>
        <v>440348033.292677</v>
      </c>
      <c r="R21" s="6" t="n">
        <f aca="false">O21/C21</f>
        <v>978.994185506841</v>
      </c>
      <c r="S21" s="6" t="n">
        <f aca="false">C21/C26</f>
        <v>0.315927309186845</v>
      </c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139</v>
      </c>
      <c r="B22" s="5" t="s">
        <v>114</v>
      </c>
      <c r="C22" s="6" t="n">
        <v>197950.480712462</v>
      </c>
      <c r="D22" s="6" t="n">
        <v>172009.825458074</v>
      </c>
      <c r="E22" s="6" t="n">
        <v>225838.839307283</v>
      </c>
      <c r="F22" s="6" t="n">
        <v>216171.426109845</v>
      </c>
      <c r="G22" s="6" t="n">
        <v>187148.727912492</v>
      </c>
      <c r="H22" s="6" t="n">
        <v>248834.195162477</v>
      </c>
      <c r="I22" s="6" t="n">
        <v>24570.1263068186</v>
      </c>
      <c r="J22" s="6" t="n">
        <v>17153.9446326343</v>
      </c>
      <c r="K22" s="6" t="n">
        <v>32666.8988339163</v>
      </c>
      <c r="L22" s="6" t="n">
        <v>26675.1259552332</v>
      </c>
      <c r="M22" s="6" t="n">
        <v>18665.640613246</v>
      </c>
      <c r="N22" s="6" t="n">
        <v>35930.2020187107</v>
      </c>
      <c r="O22" s="6" t="n">
        <v>2233443083.57</v>
      </c>
      <c r="P22" s="6" t="n">
        <v>1930115318.18</v>
      </c>
      <c r="Q22" s="6" t="n">
        <v>2582953180.91</v>
      </c>
      <c r="R22" s="6" t="n">
        <f aca="false">O22/C22</f>
        <v>11282.837382013</v>
      </c>
      <c r="S22" s="6"/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139</v>
      </c>
      <c r="B23" s="5" t="s">
        <v>106</v>
      </c>
      <c r="C23" s="6" t="n">
        <v>13672.11</v>
      </c>
      <c r="D23" s="6" t="n">
        <v>12144.75</v>
      </c>
      <c r="E23" s="6" t="n">
        <v>15172.87</v>
      </c>
      <c r="F23" s="6" t="n">
        <v>14991.66</v>
      </c>
      <c r="G23" s="6" t="n">
        <v>12516.54</v>
      </c>
      <c r="H23" s="6" t="n">
        <v>17379.64</v>
      </c>
      <c r="I23" s="6" t="n">
        <v>1382.29</v>
      </c>
      <c r="J23" s="6" t="n">
        <v>968.16</v>
      </c>
      <c r="K23" s="6" t="n">
        <v>1803.6</v>
      </c>
      <c r="L23" s="6" t="n">
        <v>1514.97</v>
      </c>
      <c r="M23" s="6" t="n">
        <v>1025.46</v>
      </c>
      <c r="N23" s="6" t="n">
        <v>2063.53</v>
      </c>
      <c r="O23" s="6" t="n">
        <v>172068765.54</v>
      </c>
      <c r="P23" s="6" t="n">
        <v>142735853.74</v>
      </c>
      <c r="Q23" s="6" t="n">
        <v>204574228.6</v>
      </c>
      <c r="R23" s="6" t="n">
        <f aca="false">O23/C23</f>
        <v>12585.3848118542</v>
      </c>
      <c r="S23" s="6"/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139</v>
      </c>
      <c r="B24" s="5" t="s">
        <v>41</v>
      </c>
      <c r="C24" s="6" t="n">
        <v>914226.484592926</v>
      </c>
      <c r="D24" s="6" t="n">
        <v>844696.772785304</v>
      </c>
      <c r="E24" s="6" t="n">
        <v>986161.342556497</v>
      </c>
      <c r="F24" s="6" t="n">
        <v>1019260.11288833</v>
      </c>
      <c r="G24" s="6" t="n">
        <v>930494.520860796</v>
      </c>
      <c r="H24" s="6" t="n">
        <v>1115249.83237785</v>
      </c>
      <c r="I24" s="6" t="n">
        <v>115270.033087156</v>
      </c>
      <c r="J24" s="6" t="n">
        <v>84870.0717893991</v>
      </c>
      <c r="K24" s="6" t="n">
        <v>148693.852350814</v>
      </c>
      <c r="L24" s="6" t="n">
        <v>127553.881530202</v>
      </c>
      <c r="M24" s="6" t="n">
        <v>92475.0234011171</v>
      </c>
      <c r="N24" s="6" t="n">
        <v>167922.693512477</v>
      </c>
      <c r="O24" s="6" t="n">
        <v>5803762065.55</v>
      </c>
      <c r="P24" s="6" t="n">
        <v>5176100395.02</v>
      </c>
      <c r="Q24" s="6" t="n">
        <v>6471600696.73</v>
      </c>
      <c r="R24" s="6" t="n">
        <f aca="false">O24/C24</f>
        <v>6348.27601623707</v>
      </c>
      <c r="S24" s="6"/>
      <c r="T24" s="5" t="s">
        <v>95</v>
      </c>
      <c r="U24" s="5" t="s">
        <v>96</v>
      </c>
    </row>
    <row r="25" customFormat="false" ht="14.25" hidden="false" customHeight="true" outlineLevel="0" collapsed="false">
      <c r="R25" s="6"/>
    </row>
    <row r="26" s="5" customFormat="true" ht="14.25" hidden="false" customHeight="true" outlineLevel="0" collapsed="false">
      <c r="B26" s="5" t="s">
        <v>108</v>
      </c>
      <c r="C26" s="6" t="n">
        <v>1263905.52</v>
      </c>
      <c r="D26" s="6" t="n">
        <v>945884.39</v>
      </c>
      <c r="E26" s="6" t="n">
        <v>1602837.91</v>
      </c>
      <c r="F26" s="6" t="n">
        <v>1257271.81</v>
      </c>
      <c r="G26" s="6" t="n">
        <v>843595.51</v>
      </c>
      <c r="H26" s="6" t="n">
        <v>1752414.03</v>
      </c>
      <c r="I26" s="6" t="n">
        <v>29145.18</v>
      </c>
      <c r="J26" s="6" t="n">
        <v>17334.96</v>
      </c>
      <c r="K26" s="6" t="n">
        <v>44672.84</v>
      </c>
      <c r="L26" s="6" t="n">
        <v>27349.56</v>
      </c>
      <c r="M26" s="6" t="n">
        <v>16203.54</v>
      </c>
      <c r="N26" s="6" t="n">
        <v>43182.92</v>
      </c>
      <c r="O26" s="6" t="n">
        <v>1237356155.11</v>
      </c>
      <c r="P26" s="6" t="n">
        <v>1100148456.2</v>
      </c>
      <c r="Q26" s="6" t="n">
        <v>1393827062.39</v>
      </c>
      <c r="R26" s="6" t="n">
        <f aca="false">O26/C26</f>
        <v>978.994185506841</v>
      </c>
      <c r="S26" s="6"/>
    </row>
    <row r="27" s="5" customFormat="true" ht="14.25" hidden="false" customHeight="true" outlineLevel="0" collapsed="false">
      <c r="B27" s="5" t="s">
        <v>109</v>
      </c>
      <c r="C27" s="6" t="n">
        <v>15415777.2796331</v>
      </c>
      <c r="D27" s="6" t="n">
        <v>14252330.5155315</v>
      </c>
      <c r="E27" s="6" t="n">
        <v>16583872.580121</v>
      </c>
      <c r="F27" s="6" t="n">
        <v>16531334.3342352</v>
      </c>
      <c r="G27" s="6" t="n">
        <v>15290946.8858084</v>
      </c>
      <c r="H27" s="6" t="n">
        <v>17844218.5728423</v>
      </c>
      <c r="I27" s="6" t="n">
        <v>884099.642863427</v>
      </c>
      <c r="J27" s="6" t="n">
        <v>636293.055295017</v>
      </c>
      <c r="K27" s="6" t="n">
        <v>1195031.82071603</v>
      </c>
      <c r="L27" s="6" t="n">
        <v>930090.192554871</v>
      </c>
      <c r="M27" s="6" t="n">
        <v>673484.801692825</v>
      </c>
      <c r="N27" s="6" t="n">
        <v>1261109.33466847</v>
      </c>
      <c r="O27" s="6" t="n">
        <f aca="false">O6+O8</f>
        <v>4937843868.41</v>
      </c>
      <c r="P27" s="6" t="n">
        <f aca="false">P6+P8</f>
        <v>4444579125.18</v>
      </c>
      <c r="Q27" s="6" t="n">
        <f aca="false">Q6+Q8</f>
        <v>5504608001.9</v>
      </c>
      <c r="R27" s="6" t="n">
        <f aca="false">O27/C27</f>
        <v>320.311053983229</v>
      </c>
      <c r="S27" s="6"/>
    </row>
    <row r="28" s="5" customFormat="true" ht="14.25" hidden="false" customHeight="true" outlineLevel="0" collapsed="false">
      <c r="B28" s="5" t="s">
        <v>131</v>
      </c>
      <c r="C28" s="6" t="n">
        <v>7105718.80151252</v>
      </c>
      <c r="D28" s="6" t="n">
        <v>6294307.02749317</v>
      </c>
      <c r="E28" s="6" t="n">
        <v>8070159.70069738</v>
      </c>
      <c r="F28" s="6" t="n">
        <v>7681220.16633851</v>
      </c>
      <c r="G28" s="6" t="n">
        <v>6777401.81459896</v>
      </c>
      <c r="H28" s="6" t="n">
        <v>8724660.20937371</v>
      </c>
      <c r="I28" s="6" t="n">
        <v>258669.155185567</v>
      </c>
      <c r="J28" s="6" t="n">
        <v>127797.683978625</v>
      </c>
      <c r="K28" s="6" t="n">
        <v>550933.638575938</v>
      </c>
      <c r="L28" s="6" t="n">
        <v>277850.089529363</v>
      </c>
      <c r="M28" s="6" t="n">
        <v>137234.178927119</v>
      </c>
      <c r="N28" s="6" t="n">
        <v>591258.229819991</v>
      </c>
      <c r="O28" s="6" t="n">
        <v>9031260404.46</v>
      </c>
      <c r="P28" s="6" t="n">
        <v>7783522036.82</v>
      </c>
      <c r="Q28" s="6" t="n">
        <v>10342236593.9</v>
      </c>
      <c r="R28" s="6" t="n">
        <f aca="false">O28/C28</f>
        <v>1270.98477391726</v>
      </c>
      <c r="S28" s="6"/>
      <c r="T28" s="5" t="s">
        <v>95</v>
      </c>
      <c r="U28" s="5" t="s">
        <v>96</v>
      </c>
    </row>
    <row r="30" customFormat="false" ht="14.25" hidden="false" customHeight="true" outlineLevel="0" collapsed="false">
      <c r="C30" s="1" t="s">
        <v>125</v>
      </c>
      <c r="D30" s="1" t="n">
        <f aca="false">C6/C27</f>
        <v>0.934824026726798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9.11"/>
    <col collapsed="false" customWidth="true" hidden="false" outlineLevel="0" max="4" min="3" style="1" width="11.56"/>
    <col collapsed="false" customWidth="true" hidden="false" outlineLevel="0" max="5" min="5" style="1" width="16.33"/>
    <col collapsed="false" customWidth="true" hidden="false" outlineLevel="0" max="6" min="6" style="1" width="19.88"/>
    <col collapsed="false" customWidth="true" hidden="false" outlineLevel="0" max="7" min="7" style="1" width="19.79"/>
    <col collapsed="false" customWidth="true" hidden="false" outlineLevel="0" max="8" min="8" style="1" width="18.34"/>
    <col collapsed="false" customWidth="true" hidden="false" outlineLevel="0" max="9" min="9" style="1" width="22.22"/>
    <col collapsed="false" customWidth="true" hidden="false" outlineLevel="0" max="10" min="10" style="1" width="9.56"/>
    <col collapsed="false" customWidth="true" hidden="false" outlineLevel="0" max="11" min="11" style="1" width="10.56"/>
    <col collapsed="false" customWidth="true" hidden="false" outlineLevel="0" max="13" min="12" style="1" width="9.56"/>
    <col collapsed="false" customWidth="true" hidden="false" outlineLevel="0" max="14" min="14" style="1" width="10.56"/>
    <col collapsed="false" customWidth="true" hidden="false" outlineLevel="0" max="17" min="15" style="1" width="14.67"/>
    <col collapsed="false" customWidth="true" hidden="false" outlineLevel="0" max="18" min="18" style="1" width="9.56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140</v>
      </c>
      <c r="B2" s="5" t="s">
        <v>19</v>
      </c>
      <c r="C2" s="6" t="n">
        <v>209056.262310963</v>
      </c>
      <c r="D2" s="6" t="n">
        <v>163884.479029673</v>
      </c>
      <c r="E2" s="6" t="n">
        <v>259657.136427053</v>
      </c>
      <c r="F2" s="6" t="n">
        <v>241164.758809845</v>
      </c>
      <c r="G2" s="6" t="n">
        <v>187376.507743347</v>
      </c>
      <c r="H2" s="6" t="n">
        <v>299451.141084607</v>
      </c>
      <c r="I2" s="6" t="n">
        <v>39031.851888073</v>
      </c>
      <c r="J2" s="6" t="n">
        <v>25840.2305842637</v>
      </c>
      <c r="K2" s="6" t="n">
        <v>56017.7663431668</v>
      </c>
      <c r="L2" s="6" t="n">
        <v>44945.6477950855</v>
      </c>
      <c r="M2" s="6" t="n">
        <v>30092.5239406924</v>
      </c>
      <c r="N2" s="6" t="n">
        <v>65400.3823720725</v>
      </c>
      <c r="O2" s="6" t="n">
        <v>2089367761.58</v>
      </c>
      <c r="P2" s="6" t="n">
        <v>1892560657.6</v>
      </c>
      <c r="Q2" s="6" t="n">
        <v>2327737233.28</v>
      </c>
      <c r="R2" s="6" t="n">
        <f aca="false">O2/C2</f>
        <v>9994.28449778819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140</v>
      </c>
      <c r="B3" s="5" t="s">
        <v>94</v>
      </c>
      <c r="C3" s="6" t="n">
        <v>8410.53347658959</v>
      </c>
      <c r="D3" s="6" t="n">
        <v>5915.86970298638</v>
      </c>
      <c r="E3" s="6" t="n">
        <v>12219.5124958235</v>
      </c>
      <c r="F3" s="6" t="n">
        <v>8679.32757577984</v>
      </c>
      <c r="G3" s="6" t="n">
        <v>5952.56727297404</v>
      </c>
      <c r="H3" s="6" t="n">
        <v>13158.8257292738</v>
      </c>
      <c r="I3" s="6" t="n">
        <v>1319.15818041494</v>
      </c>
      <c r="J3" s="6" t="n">
        <v>868.87374475794</v>
      </c>
      <c r="K3" s="6" t="n">
        <v>1880.23317490281</v>
      </c>
      <c r="L3" s="6" t="n">
        <v>1340.88495369672</v>
      </c>
      <c r="M3" s="6" t="n">
        <v>878.127977990535</v>
      </c>
      <c r="N3" s="6" t="n">
        <v>1898.77299367794</v>
      </c>
      <c r="O3" s="6" t="n">
        <v>818593512.33</v>
      </c>
      <c r="P3" s="6" t="n">
        <v>711889621.29</v>
      </c>
      <c r="Q3" s="6" t="n">
        <v>940985644.28</v>
      </c>
      <c r="R3" s="6" t="n">
        <f aca="false">O3/C3</f>
        <v>97329.55877395</v>
      </c>
      <c r="S3" s="6"/>
      <c r="T3" s="5" t="s">
        <v>95</v>
      </c>
    </row>
    <row r="4" s="5" customFormat="true" ht="14.25" hidden="false" customHeight="true" outlineLevel="0" collapsed="false">
      <c r="A4" s="5" t="s">
        <v>140</v>
      </c>
      <c r="B4" s="5" t="s">
        <v>97</v>
      </c>
      <c r="C4" s="6" t="n">
        <v>31201.6442385335</v>
      </c>
      <c r="D4" s="6" t="n">
        <v>25557.6473441144</v>
      </c>
      <c r="E4" s="6" t="n">
        <v>37424.2811197453</v>
      </c>
      <c r="F4" s="6" t="n">
        <v>31573.112719631</v>
      </c>
      <c r="G4" s="6" t="n">
        <v>25165.4529239098</v>
      </c>
      <c r="H4" s="6" t="n">
        <v>39412.5984652265</v>
      </c>
      <c r="I4" s="6" t="n">
        <v>4385.46288758305</v>
      </c>
      <c r="J4" s="6" t="n">
        <v>2845.72438317084</v>
      </c>
      <c r="K4" s="6" t="n">
        <v>6026.82017008228</v>
      </c>
      <c r="L4" s="6" t="n">
        <v>4446.6451401398</v>
      </c>
      <c r="M4" s="6" t="n">
        <v>2818.23947933731</v>
      </c>
      <c r="N4" s="6" t="n">
        <v>6282.34628362204</v>
      </c>
      <c r="O4" s="6" t="n">
        <f aca="false">S4*O27</f>
        <v>55882179.933202</v>
      </c>
      <c r="P4" s="6" t="n">
        <f aca="false">S4*P27</f>
        <v>47200981.3405233</v>
      </c>
      <c r="Q4" s="6" t="n">
        <f aca="false">S4*Q27</f>
        <v>65209925.6320688</v>
      </c>
      <c r="R4" s="6" t="n">
        <f aca="false">O4/C4</f>
        <v>1791.00112500445</v>
      </c>
      <c r="S4" s="6" t="n">
        <f aca="false">C4/C27</f>
        <v>0.399158386125647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140</v>
      </c>
      <c r="B5" s="5" t="s">
        <v>119</v>
      </c>
      <c r="C5" s="6" t="n">
        <v>92268.807297145</v>
      </c>
      <c r="D5" s="6" t="n">
        <v>71372.9810802608</v>
      </c>
      <c r="E5" s="6" t="n">
        <v>113128.942623616</v>
      </c>
      <c r="F5" s="6" t="n">
        <v>96752.7277708208</v>
      </c>
      <c r="G5" s="6" t="n">
        <v>75165.386718521</v>
      </c>
      <c r="H5" s="6" t="n">
        <v>117082.538254381</v>
      </c>
      <c r="I5" s="6" t="n">
        <v>7088.73603183491</v>
      </c>
      <c r="J5" s="6" t="n">
        <v>4590.88305930728</v>
      </c>
      <c r="K5" s="6" t="n">
        <v>9904.3317639194</v>
      </c>
      <c r="L5" s="6" t="n">
        <v>7408.67705190385</v>
      </c>
      <c r="M5" s="6" t="n">
        <v>4849.27892747135</v>
      </c>
      <c r="N5" s="6" t="n">
        <v>10294.4893900863</v>
      </c>
      <c r="O5" s="6" t="n">
        <v>941819610.1</v>
      </c>
      <c r="P5" s="6" t="n">
        <v>822875324.51</v>
      </c>
      <c r="Q5" s="6" t="n">
        <v>1090319387.92</v>
      </c>
      <c r="R5" s="6" t="n">
        <f aca="false">O5/C5</f>
        <v>10207.3456641413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140</v>
      </c>
      <c r="B6" s="5" t="s">
        <v>122</v>
      </c>
      <c r="C6" s="6" t="n">
        <v>5082685.84790916</v>
      </c>
      <c r="D6" s="6" t="n">
        <v>4705096.73306861</v>
      </c>
      <c r="E6" s="6" t="n">
        <v>5457648.64631367</v>
      </c>
      <c r="F6" s="6" t="n">
        <v>5630562.64402357</v>
      </c>
      <c r="G6" s="6" t="n">
        <v>5156184.04234428</v>
      </c>
      <c r="H6" s="6" t="n">
        <v>6108871.87363245</v>
      </c>
      <c r="I6" s="6" t="n">
        <v>388630.467321985</v>
      </c>
      <c r="J6" s="6" t="n">
        <v>274479.4966059</v>
      </c>
      <c r="K6" s="6" t="n">
        <v>532103.373810578</v>
      </c>
      <c r="L6" s="6" t="n">
        <v>429497.520561897</v>
      </c>
      <c r="M6" s="6" t="n">
        <v>300614.536145998</v>
      </c>
      <c r="N6" s="6" t="n">
        <v>591642.064821889</v>
      </c>
      <c r="O6" s="6" t="n">
        <v>58727658664.41</v>
      </c>
      <c r="P6" s="6" t="n">
        <v>51579152631.09</v>
      </c>
      <c r="Q6" s="6" t="n">
        <v>65872993349.25</v>
      </c>
      <c r="R6" s="6" t="n">
        <f aca="false">O6/C6</f>
        <v>11554.4537714383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140</v>
      </c>
      <c r="B7" s="5" t="s">
        <v>26</v>
      </c>
      <c r="C7" s="6" t="n">
        <v>12967354.328629</v>
      </c>
      <c r="D7" s="6" t="n">
        <v>10691504.9149971</v>
      </c>
      <c r="E7" s="6" t="n">
        <v>15861843.9721516</v>
      </c>
      <c r="F7" s="6" t="n">
        <v>12819734.9057343</v>
      </c>
      <c r="G7" s="6" t="n">
        <v>10582567.4421063</v>
      </c>
      <c r="H7" s="6" t="n">
        <v>15694998.7266232</v>
      </c>
      <c r="I7" s="6" t="n">
        <v>586818.251716336</v>
      </c>
      <c r="J7" s="6" t="n">
        <v>416319.692714067</v>
      </c>
      <c r="K7" s="6" t="n">
        <v>796347.092346767</v>
      </c>
      <c r="L7" s="6" t="n">
        <v>578454.614548197</v>
      </c>
      <c r="M7" s="6" t="n">
        <v>405748.25681368</v>
      </c>
      <c r="N7" s="6" t="n">
        <v>787626.665845788</v>
      </c>
      <c r="O7" s="6" t="n">
        <v>2711775920.68</v>
      </c>
      <c r="P7" s="6" t="n">
        <v>2394674145.67</v>
      </c>
      <c r="Q7" s="6" t="n">
        <v>3075802822.98</v>
      </c>
      <c r="R7" s="6" t="n">
        <f aca="false">O7/C7</f>
        <v>209.123299321976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140</v>
      </c>
      <c r="B8" s="5" t="s">
        <v>9</v>
      </c>
      <c r="C8" s="6" t="n">
        <v>1110546.24483408</v>
      </c>
      <c r="D8" s="6" t="n">
        <v>825459.729699424</v>
      </c>
      <c r="E8" s="6" t="n">
        <v>1403110.82362636</v>
      </c>
      <c r="F8" s="6" t="n">
        <v>1034073.18400563</v>
      </c>
      <c r="G8" s="6" t="n">
        <v>686593.738302622</v>
      </c>
      <c r="H8" s="6" t="n">
        <v>1436679.45681183</v>
      </c>
      <c r="I8" s="6" t="n">
        <v>33365.5105292295</v>
      </c>
      <c r="J8" s="6" t="n">
        <v>21551.2471063568</v>
      </c>
      <c r="K8" s="6" t="n">
        <v>49771.14409274</v>
      </c>
      <c r="L8" s="6" t="n">
        <v>30920.7971757173</v>
      </c>
      <c r="M8" s="6" t="n">
        <v>18643.0260198495</v>
      </c>
      <c r="N8" s="6" t="n">
        <v>47556.0831323878</v>
      </c>
      <c r="O8" s="6" t="n">
        <v>223131000.39</v>
      </c>
      <c r="P8" s="6" t="n">
        <v>192335696.15</v>
      </c>
      <c r="Q8" s="6" t="n">
        <v>256809871.24</v>
      </c>
      <c r="R8" s="6" t="n">
        <f aca="false">O8/C8</f>
        <v>200.920044012518</v>
      </c>
      <c r="S8" s="6"/>
      <c r="T8" s="5" t="s">
        <v>95</v>
      </c>
      <c r="U8" s="5" t="s">
        <v>96</v>
      </c>
    </row>
    <row r="9" s="5" customFormat="true" ht="14.25" hidden="false" customHeight="true" outlineLevel="0" collapsed="false">
      <c r="A9" s="5" t="s">
        <v>140</v>
      </c>
      <c r="B9" s="5" t="s">
        <v>120</v>
      </c>
      <c r="C9" s="6" t="n">
        <v>4247645.80081081</v>
      </c>
      <c r="D9" s="6" t="n">
        <v>3523114.02661822</v>
      </c>
      <c r="E9" s="6" t="n">
        <v>5073254.47378373</v>
      </c>
      <c r="F9" s="6" t="n">
        <v>4323423.88929085</v>
      </c>
      <c r="G9" s="6" t="n">
        <v>3577413.76615456</v>
      </c>
      <c r="H9" s="6" t="n">
        <v>5146383.23032653</v>
      </c>
      <c r="I9" s="6" t="n">
        <v>463206.962377095</v>
      </c>
      <c r="J9" s="6" t="n">
        <v>314698.496613793</v>
      </c>
      <c r="K9" s="6" t="n">
        <v>631764.947366612</v>
      </c>
      <c r="L9" s="6" t="n">
        <v>469593.101857426</v>
      </c>
      <c r="M9" s="6" t="n">
        <v>319965.923293101</v>
      </c>
      <c r="N9" s="6" t="n">
        <v>637280.139688678</v>
      </c>
      <c r="O9" s="6" t="n">
        <v>4594248990.02</v>
      </c>
      <c r="P9" s="6" t="n">
        <v>3951682500.96</v>
      </c>
      <c r="Q9" s="6" t="n">
        <v>5243933673.08</v>
      </c>
      <c r="R9" s="6" t="n">
        <f aca="false">O9/C9</f>
        <v>1081.59889158908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140</v>
      </c>
      <c r="B10" s="5" t="s">
        <v>134</v>
      </c>
      <c r="C10" s="6" t="n">
        <v>1041628.41073881</v>
      </c>
      <c r="D10" s="6" t="n">
        <v>845627.07577002</v>
      </c>
      <c r="E10" s="6" t="n">
        <v>1333891.72252653</v>
      </c>
      <c r="F10" s="6" t="n">
        <v>979280.243968391</v>
      </c>
      <c r="G10" s="6" t="n">
        <v>712768.884870114</v>
      </c>
      <c r="H10" s="6" t="n">
        <v>1337598.34153622</v>
      </c>
      <c r="I10" s="6" t="n">
        <v>3187.72355577997</v>
      </c>
      <c r="J10" s="6" t="n">
        <v>1420.054490215</v>
      </c>
      <c r="K10" s="6" t="n">
        <v>6363.73352949604</v>
      </c>
      <c r="L10" s="6" t="n">
        <v>2988.81540377427</v>
      </c>
      <c r="M10" s="6" t="n">
        <v>1260.51881968044</v>
      </c>
      <c r="N10" s="6" t="n">
        <v>6118.5167696778</v>
      </c>
      <c r="O10" s="6" t="n">
        <v>1075868282.58</v>
      </c>
      <c r="P10" s="6" t="n">
        <v>915318279.19</v>
      </c>
      <c r="Q10" s="6" t="n">
        <v>1268695445.17</v>
      </c>
      <c r="R10" s="6" t="n">
        <f aca="false">O10/C10</f>
        <v>1032.87148419551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140</v>
      </c>
      <c r="B11" s="5" t="s">
        <v>98</v>
      </c>
      <c r="C11" s="6" t="n">
        <v>1887.67503129406</v>
      </c>
      <c r="D11" s="6" t="n">
        <v>1586.00159013625</v>
      </c>
      <c r="E11" s="6" t="n">
        <v>2293.90446430511</v>
      </c>
      <c r="F11" s="6" t="n">
        <v>1968.60593763461</v>
      </c>
      <c r="G11" s="6" t="n">
        <v>1554.74428529289</v>
      </c>
      <c r="H11" s="6" t="n">
        <v>2589.88258171897</v>
      </c>
      <c r="I11" s="6" t="n">
        <v>196.331653544128</v>
      </c>
      <c r="J11" s="6" t="n">
        <v>132.844922598447</v>
      </c>
      <c r="K11" s="6" t="n">
        <v>278.983411984969</v>
      </c>
      <c r="L11" s="6" t="n">
        <v>204.533141049712</v>
      </c>
      <c r="M11" s="6" t="n">
        <v>134.761833145403</v>
      </c>
      <c r="N11" s="6" t="n">
        <v>311.509954535511</v>
      </c>
      <c r="O11" s="6" t="n">
        <v>542177967.02</v>
      </c>
      <c r="P11" s="6" t="n">
        <v>455420740.82</v>
      </c>
      <c r="Q11" s="6" t="n">
        <v>619338870.84</v>
      </c>
      <c r="R11" s="6"/>
      <c r="S11" s="6"/>
      <c r="T11" s="5" t="s">
        <v>95</v>
      </c>
    </row>
    <row r="12" s="5" customFormat="true" ht="14.25" hidden="false" customHeight="true" outlineLevel="0" collapsed="false">
      <c r="A12" s="5" t="s">
        <v>140</v>
      </c>
      <c r="B12" s="5" t="s">
        <v>44</v>
      </c>
      <c r="C12" s="6" t="n">
        <v>4342.5783261125</v>
      </c>
      <c r="D12" s="6" t="n">
        <v>3740.65085985858</v>
      </c>
      <c r="E12" s="6" t="n">
        <v>5151.73254768732</v>
      </c>
      <c r="F12" s="6" t="n">
        <v>4536.21470320812</v>
      </c>
      <c r="G12" s="6" t="n">
        <v>3796.07602768839</v>
      </c>
      <c r="H12" s="6" t="n">
        <v>5564.98612811593</v>
      </c>
      <c r="I12" s="6" t="n">
        <v>923.244257999646</v>
      </c>
      <c r="J12" s="6" t="n">
        <v>641.023026255769</v>
      </c>
      <c r="K12" s="6" t="n">
        <v>1227.18239149782</v>
      </c>
      <c r="L12" s="6" t="n">
        <v>964.612568214699</v>
      </c>
      <c r="M12" s="6" t="n">
        <v>662.710737056356</v>
      </c>
      <c r="N12" s="6" t="n">
        <v>1304.63040591006</v>
      </c>
      <c r="O12" s="6" t="n">
        <v>351330879.81</v>
      </c>
      <c r="P12" s="6" t="n">
        <v>290794434.09</v>
      </c>
      <c r="Q12" s="6" t="n">
        <v>423221577.78</v>
      </c>
      <c r="R12" s="6" t="n">
        <f aca="false">O12/C12</f>
        <v>80903.7519708973</v>
      </c>
      <c r="S12" s="6"/>
      <c r="T12" s="5" t="s">
        <v>95</v>
      </c>
    </row>
    <row r="13" s="5" customFormat="true" ht="14.25" hidden="false" customHeight="true" outlineLevel="0" collapsed="false">
      <c r="A13" s="5" t="s">
        <v>140</v>
      </c>
      <c r="B13" s="5" t="s">
        <v>12</v>
      </c>
      <c r="C13" s="6" t="n">
        <v>46683.8731766488</v>
      </c>
      <c r="D13" s="6" t="n">
        <v>43545.1711305204</v>
      </c>
      <c r="E13" s="6" t="n">
        <v>50115.0418550356</v>
      </c>
      <c r="F13" s="6" t="n">
        <v>48696.1129933493</v>
      </c>
      <c r="G13" s="6" t="n">
        <v>45301.025848109</v>
      </c>
      <c r="H13" s="6" t="n">
        <v>52468.9783263649</v>
      </c>
      <c r="I13" s="6" t="n">
        <v>11118.9188701993</v>
      </c>
      <c r="J13" s="6" t="n">
        <v>8021.50556265568</v>
      </c>
      <c r="K13" s="6" t="n">
        <v>14163.0260276878</v>
      </c>
      <c r="L13" s="6" t="n">
        <v>11550.0117088167</v>
      </c>
      <c r="M13" s="6" t="n">
        <v>8639.82030816285</v>
      </c>
      <c r="N13" s="6" t="n">
        <v>14595.2475542866</v>
      </c>
      <c r="O13" s="6" t="n">
        <v>2248666712.69</v>
      </c>
      <c r="P13" s="6" t="n">
        <v>1925544779.11</v>
      </c>
      <c r="Q13" s="6" t="n">
        <v>2646642162.43</v>
      </c>
      <c r="R13" s="6" t="n">
        <f aca="false">O13/C13</f>
        <v>48167.9552204503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140</v>
      </c>
      <c r="B14" s="5" t="s">
        <v>113</v>
      </c>
      <c r="C14" s="6" t="n">
        <v>787102.631750472</v>
      </c>
      <c r="D14" s="6" t="n">
        <v>458481.558984299</v>
      </c>
      <c r="E14" s="6" t="n">
        <v>1269652.46587464</v>
      </c>
      <c r="F14" s="6" t="n">
        <v>807975.427100367</v>
      </c>
      <c r="G14" s="6" t="n">
        <v>463876.084063968</v>
      </c>
      <c r="H14" s="6" t="n">
        <v>1330771.27990397</v>
      </c>
      <c r="I14" s="6" t="n">
        <v>74465.1595693912</v>
      </c>
      <c r="J14" s="6" t="n">
        <v>36987.903717894</v>
      </c>
      <c r="K14" s="6" t="n">
        <v>131237.970334184</v>
      </c>
      <c r="L14" s="6" t="n">
        <v>76284.3585789334</v>
      </c>
      <c r="M14" s="6" t="n">
        <v>38022.6173318847</v>
      </c>
      <c r="N14" s="6" t="n">
        <v>131942.43669201</v>
      </c>
      <c r="O14" s="6" t="n">
        <v>1898182955.11</v>
      </c>
      <c r="P14" s="6" t="n">
        <v>1607919173.92</v>
      </c>
      <c r="Q14" s="6" t="n">
        <v>2195181062.64</v>
      </c>
      <c r="R14" s="6" t="n">
        <f aca="false">O14/C14</f>
        <v>2411.60793845721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140</v>
      </c>
      <c r="B15" s="5" t="s">
        <v>22</v>
      </c>
      <c r="C15" s="6" t="n">
        <v>8600653.8631263</v>
      </c>
      <c r="D15" s="7" t="n">
        <v>8001477.26558872</v>
      </c>
      <c r="E15" s="7" t="n">
        <v>9199830.46066389</v>
      </c>
      <c r="F15" s="6" t="n">
        <v>8663442.4191026</v>
      </c>
      <c r="G15" s="7" t="n">
        <v>7994677.5450677</v>
      </c>
      <c r="H15" s="7" t="n">
        <v>9332207.2931375</v>
      </c>
      <c r="I15" s="6" t="n">
        <f aca="false">I28-I7</f>
        <v>268591.831985602</v>
      </c>
      <c r="J15" s="6" t="n">
        <f aca="false">J28-J7</f>
        <v>197540.389889345</v>
      </c>
      <c r="K15" s="6" t="n">
        <f aca="false">K28-K7</f>
        <v>366048.515313053</v>
      </c>
      <c r="L15" s="6" t="n">
        <f aca="false">L28-L7</f>
        <v>269701.612944384</v>
      </c>
      <c r="M15" s="6" t="n">
        <f aca="false">M28-M7</f>
        <v>206650.919513761</v>
      </c>
      <c r="N15" s="6" t="n">
        <f aca="false">N28-N7</f>
        <v>367390.162699932</v>
      </c>
      <c r="O15" s="5" t="n">
        <v>1170096513.93</v>
      </c>
      <c r="P15" s="5" t="n">
        <v>1025351478.14</v>
      </c>
      <c r="Q15" s="5" t="n">
        <v>1330946072.13</v>
      </c>
      <c r="T15" s="5" t="s">
        <v>95</v>
      </c>
    </row>
    <row r="16" s="5" customFormat="true" ht="14.25" hidden="false" customHeight="true" outlineLevel="0" collapsed="false">
      <c r="A16" s="5" t="s">
        <v>140</v>
      </c>
      <c r="B16" s="5" t="s">
        <v>64</v>
      </c>
      <c r="C16" s="6" t="n">
        <v>2738088.56719094</v>
      </c>
      <c r="D16" s="6" t="n">
        <v>1955521.87907464</v>
      </c>
      <c r="E16" s="6" t="n">
        <v>3664443.36862187</v>
      </c>
      <c r="F16" s="6" t="n">
        <v>2605837.48942905</v>
      </c>
      <c r="G16" s="6" t="n">
        <v>1857813.59070983</v>
      </c>
      <c r="H16" s="6" t="n">
        <v>3487753.7448916</v>
      </c>
      <c r="I16" s="6" t="n">
        <v>87218.304858449</v>
      </c>
      <c r="J16" s="6" t="n">
        <v>38358.9966096214</v>
      </c>
      <c r="K16" s="6" t="n">
        <v>196490.05373716</v>
      </c>
      <c r="L16" s="6" t="n">
        <v>82722.5786152058</v>
      </c>
      <c r="M16" s="6" t="n">
        <v>36120.0299061511</v>
      </c>
      <c r="N16" s="6" t="n">
        <v>188952.937447279</v>
      </c>
      <c r="O16" s="6" t="n">
        <f aca="false">S16*O30</f>
        <v>1995960997.21179</v>
      </c>
      <c r="P16" s="6" t="n">
        <f aca="false">S16*P30</f>
        <v>1713220382.91934</v>
      </c>
      <c r="Q16" s="6" t="n">
        <f aca="false">S16*Q30</f>
        <v>2295730489.16667</v>
      </c>
      <c r="R16" s="6" t="n">
        <f aca="false">O16/C16</f>
        <v>728.961444537746</v>
      </c>
      <c r="S16" s="6" t="n">
        <f aca="false">C16/MAX(C30,C16+C17+C18+C19)</f>
        <v>0.33519879437564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140</v>
      </c>
      <c r="B17" s="5" t="s">
        <v>128</v>
      </c>
      <c r="C17" s="6" t="n">
        <v>758392.157331728</v>
      </c>
      <c r="D17" s="6" t="n">
        <v>576960.669406051</v>
      </c>
      <c r="E17" s="6" t="n">
        <v>977130.376124428</v>
      </c>
      <c r="F17" s="6" t="n">
        <v>783529.197215547</v>
      </c>
      <c r="G17" s="6" t="n">
        <v>573637.78283478</v>
      </c>
      <c r="H17" s="6" t="n">
        <v>1037766.01444903</v>
      </c>
      <c r="I17" s="6" t="n">
        <v>24041.037931096</v>
      </c>
      <c r="J17" s="6" t="n">
        <v>11208.6957588025</v>
      </c>
      <c r="K17" s="6" t="n">
        <v>50181.0661331517</v>
      </c>
      <c r="L17" s="6" t="n">
        <v>24727.2043459518</v>
      </c>
      <c r="M17" s="6" t="n">
        <v>11325.6688130357</v>
      </c>
      <c r="N17" s="6" t="n">
        <v>52123.9698770091</v>
      </c>
      <c r="O17" s="6" t="n">
        <f aca="false">S17*O30</f>
        <v>552838642.534634</v>
      </c>
      <c r="P17" s="6" t="n">
        <f aca="false">S17*P30</f>
        <v>474525520.377837</v>
      </c>
      <c r="Q17" s="6" t="n">
        <f aca="false">S17*Q30</f>
        <v>635868400.749917</v>
      </c>
      <c r="R17" s="6" t="n">
        <f aca="false">O17/C17</f>
        <v>728.961444537746</v>
      </c>
      <c r="S17" s="6" t="n">
        <f aca="false">C17/MAX(C30,C16+C17+C18+C19)</f>
        <v>0.0928429196365759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140</v>
      </c>
      <c r="B18" s="5" t="s">
        <v>129</v>
      </c>
      <c r="C18" s="6" t="n">
        <v>4102684.14398011</v>
      </c>
      <c r="D18" s="6" t="n">
        <v>3385072.83375593</v>
      </c>
      <c r="E18" s="6" t="n">
        <v>4855458.7737689</v>
      </c>
      <c r="F18" s="6" t="n">
        <v>4275239.0919165</v>
      </c>
      <c r="G18" s="6" t="n">
        <v>3473086.5531175</v>
      </c>
      <c r="H18" s="6" t="n">
        <v>5141576.51638989</v>
      </c>
      <c r="I18" s="6" t="n">
        <v>130760.464833697</v>
      </c>
      <c r="J18" s="6" t="n">
        <v>60954.9086343672</v>
      </c>
      <c r="K18" s="6" t="n">
        <v>275453.293257084</v>
      </c>
      <c r="L18" s="6" t="n">
        <v>135870.418396813</v>
      </c>
      <c r="M18" s="6" t="n">
        <v>63112.2420449928</v>
      </c>
      <c r="N18" s="6" t="n">
        <v>287632.021926033</v>
      </c>
      <c r="O18" s="6" t="n">
        <f aca="false">S18*O30</f>
        <v>2990698560.07784</v>
      </c>
      <c r="P18" s="6" t="n">
        <f aca="false">S18*P30</f>
        <v>2567047021.18445</v>
      </c>
      <c r="Q18" s="6" t="n">
        <f aca="false">S18*Q30</f>
        <v>3439865747.81202</v>
      </c>
      <c r="R18" s="6" t="n">
        <f aca="false">O18/C18</f>
        <v>728.961444537746</v>
      </c>
      <c r="S18" s="6" t="n">
        <f aca="false">C18/MAX(C30,C16+C17+C18+C19)</f>
        <v>0.502253577639765</v>
      </c>
      <c r="T18" s="5" t="s">
        <v>95</v>
      </c>
      <c r="U18" s="5" t="s">
        <v>96</v>
      </c>
    </row>
    <row r="19" s="5" customFormat="true" ht="14.25" hidden="false" customHeight="true" outlineLevel="0" collapsed="false">
      <c r="A19" s="5" t="s">
        <v>140</v>
      </c>
      <c r="B19" s="5" t="s">
        <v>130</v>
      </c>
      <c r="C19" s="6" t="n">
        <v>569386.490075521</v>
      </c>
      <c r="D19" s="6" t="n">
        <v>453111.389886988</v>
      </c>
      <c r="E19" s="6" t="n">
        <v>712522.189087187</v>
      </c>
      <c r="F19" s="6" t="n">
        <v>584925.862291268</v>
      </c>
      <c r="G19" s="6" t="n">
        <v>465205.164204029</v>
      </c>
      <c r="H19" s="6" t="n">
        <v>727760.696590737</v>
      </c>
      <c r="I19" s="6" t="n">
        <v>18061.4830336481</v>
      </c>
      <c r="J19" s="6" t="n">
        <v>8440.04092726134</v>
      </c>
      <c r="K19" s="6" t="n">
        <v>38881.3483635527</v>
      </c>
      <c r="L19" s="6" t="n">
        <v>18504.2894524129</v>
      </c>
      <c r="M19" s="6" t="n">
        <v>8972.20025105997</v>
      </c>
      <c r="N19" s="6" t="n">
        <v>39953.953112078</v>
      </c>
      <c r="O19" s="6" t="n">
        <f aca="false">S19*O30</f>
        <v>415060798.305728</v>
      </c>
      <c r="P19" s="6" t="n">
        <f aca="false">S19*P30</f>
        <v>356264787.138369</v>
      </c>
      <c r="Q19" s="6" t="n">
        <f aca="false">S19*Q30</f>
        <v>477397970.631392</v>
      </c>
      <c r="R19" s="6" t="n">
        <f aca="false">O19/C19</f>
        <v>728.961444537745</v>
      </c>
      <c r="S19" s="6" t="n">
        <f aca="false">C19/MAX(C30,C16+C17+C18+C19)</f>
        <v>0.0697047083480198</v>
      </c>
      <c r="T19" s="5" t="s">
        <v>95</v>
      </c>
      <c r="U19" s="5" t="s">
        <v>96</v>
      </c>
    </row>
    <row r="20" customFormat="false" ht="14.25" hidden="false" customHeight="true" outlineLevel="0" collapsed="false">
      <c r="A20" s="1" t="s">
        <v>140</v>
      </c>
      <c r="B20" s="1" t="s">
        <v>110</v>
      </c>
      <c r="C20" s="12" t="n">
        <v>4422193.97619564</v>
      </c>
      <c r="D20" s="12" t="n">
        <v>3667477.03927125</v>
      </c>
      <c r="E20" s="12" t="n">
        <v>5163120.41712487</v>
      </c>
      <c r="F20" s="12" t="n">
        <v>4564489.91405129</v>
      </c>
      <c r="G20" s="12" t="n">
        <v>3769541.3779289</v>
      </c>
      <c r="H20" s="12" t="n">
        <v>5318648.14468489</v>
      </c>
      <c r="I20" s="12" t="n">
        <v>362439.870778618</v>
      </c>
      <c r="J20" s="12" t="n">
        <v>244473.077531685</v>
      </c>
      <c r="K20" s="12" t="n">
        <v>498950.910869905</v>
      </c>
      <c r="L20" s="12" t="n">
        <v>372675.006178257</v>
      </c>
      <c r="M20" s="12" t="n">
        <v>249922.69794094</v>
      </c>
      <c r="N20" s="12" t="n">
        <v>513969.01972044</v>
      </c>
      <c r="O20" s="12" t="n">
        <v>3588491793.14</v>
      </c>
      <c r="P20" s="12" t="n">
        <v>3182586876.16</v>
      </c>
      <c r="Q20" s="12" t="n">
        <v>4085616451.67</v>
      </c>
      <c r="R20" s="12"/>
      <c r="S20" s="12"/>
      <c r="T20" s="1" t="s">
        <v>95</v>
      </c>
      <c r="U20" s="1" t="s">
        <v>96</v>
      </c>
    </row>
    <row r="21" s="5" customFormat="true" ht="14.25" hidden="false" customHeight="true" outlineLevel="0" collapsed="false">
      <c r="A21" s="5" t="s">
        <v>140</v>
      </c>
      <c r="B21" s="5" t="s">
        <v>135</v>
      </c>
      <c r="C21" s="6" t="n">
        <v>52866.4425659511</v>
      </c>
      <c r="D21" s="6" t="n">
        <v>45491.9148246047</v>
      </c>
      <c r="E21" s="6" t="n">
        <v>61002.8789182852</v>
      </c>
      <c r="F21" s="6" t="n">
        <v>56190.6526786106</v>
      </c>
      <c r="G21" s="6" t="n">
        <v>47099.2656380622</v>
      </c>
      <c r="H21" s="6" t="n">
        <v>65783.3381775426</v>
      </c>
      <c r="I21" s="6" t="n">
        <v>7587.71043829391</v>
      </c>
      <c r="J21" s="6" t="n">
        <v>5340.00181233773</v>
      </c>
      <c r="K21" s="6" t="n">
        <v>10095.0765723323</v>
      </c>
      <c r="L21" s="6" t="n">
        <v>8003.65569206853</v>
      </c>
      <c r="M21" s="6" t="n">
        <v>5556.09191347297</v>
      </c>
      <c r="N21" s="6" t="n">
        <v>10996.4335330231</v>
      </c>
      <c r="O21" s="6" t="n">
        <v>479338071.39</v>
      </c>
      <c r="P21" s="6" t="n">
        <v>409601471.42</v>
      </c>
      <c r="Q21" s="6" t="n">
        <v>560169636.34</v>
      </c>
      <c r="R21" s="6" t="n">
        <f aca="false">O21/C21</f>
        <v>9066.96286197097</v>
      </c>
      <c r="S21" s="6"/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140</v>
      </c>
      <c r="B22" s="5" t="s">
        <v>5</v>
      </c>
      <c r="C22" s="6" t="n">
        <v>436909.49</v>
      </c>
      <c r="D22" s="6" t="n">
        <v>334751.75</v>
      </c>
      <c r="E22" s="6" t="n">
        <v>550765.12</v>
      </c>
      <c r="F22" s="6" t="n">
        <v>344470.35</v>
      </c>
      <c r="G22" s="6" t="n">
        <v>266692.59</v>
      </c>
      <c r="H22" s="6" t="n">
        <v>441684.57</v>
      </c>
      <c r="I22" s="6" t="n">
        <v>15535.83</v>
      </c>
      <c r="J22" s="6" t="n">
        <v>8199.55</v>
      </c>
      <c r="K22" s="6" t="n">
        <v>25263.5</v>
      </c>
      <c r="L22" s="6" t="n">
        <v>12667.52</v>
      </c>
      <c r="M22" s="6" t="n">
        <v>6390.75</v>
      </c>
      <c r="N22" s="6" t="n">
        <v>20714.36</v>
      </c>
      <c r="O22" s="6" t="n">
        <f aca="false">S22*O29</f>
        <v>204221608.350981</v>
      </c>
      <c r="P22" s="6" t="n">
        <f aca="false">S22*P29</f>
        <v>180241212.517958</v>
      </c>
      <c r="Q22" s="6" t="n">
        <f aca="false">S22*Q29</f>
        <v>231040817.829608</v>
      </c>
      <c r="R22" s="6" t="n">
        <f aca="false">O22/C22</f>
        <v>467.423146041027</v>
      </c>
      <c r="S22" s="6" t="n">
        <f aca="false">C22/C29</f>
        <v>0.230136147462773</v>
      </c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140</v>
      </c>
      <c r="B23" s="5" t="s">
        <v>114</v>
      </c>
      <c r="C23" s="6" t="n">
        <v>192989.494596946</v>
      </c>
      <c r="D23" s="6" t="n">
        <v>169126.643021144</v>
      </c>
      <c r="E23" s="6" t="n">
        <v>222625.375829764</v>
      </c>
      <c r="F23" s="6" t="n">
        <v>197621.254892755</v>
      </c>
      <c r="G23" s="6" t="n">
        <v>172440.364135405</v>
      </c>
      <c r="H23" s="6" t="n">
        <v>229028.546030054</v>
      </c>
      <c r="I23" s="6" t="n">
        <v>24605.2679006947</v>
      </c>
      <c r="J23" s="6" t="n">
        <v>16833.742489034</v>
      </c>
      <c r="K23" s="6" t="n">
        <v>33670.1151640341</v>
      </c>
      <c r="L23" s="6" t="n">
        <v>25040.298749665</v>
      </c>
      <c r="M23" s="6" t="n">
        <v>17388.3768765103</v>
      </c>
      <c r="N23" s="6" t="n">
        <v>34130.1933182647</v>
      </c>
      <c r="O23" s="6" t="n">
        <v>2005703487.31</v>
      </c>
      <c r="P23" s="6" t="n">
        <v>1687329179.68</v>
      </c>
      <c r="Q23" s="6" t="n">
        <v>2280799189.38</v>
      </c>
      <c r="R23" s="6" t="n">
        <f aca="false">O23/C23</f>
        <v>10392.8117512244</v>
      </c>
      <c r="S23" s="6"/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140</v>
      </c>
      <c r="B24" s="5" t="s">
        <v>106</v>
      </c>
      <c r="C24" s="6" t="n">
        <v>14318.1</v>
      </c>
      <c r="D24" s="6" t="n">
        <v>12692.09</v>
      </c>
      <c r="E24" s="6" t="n">
        <v>15907.41</v>
      </c>
      <c r="F24" s="6" t="n">
        <v>14293.99</v>
      </c>
      <c r="G24" s="6" t="n">
        <v>11897.32</v>
      </c>
      <c r="H24" s="6" t="n">
        <v>16709.68</v>
      </c>
      <c r="I24" s="6" t="n">
        <v>1432.75</v>
      </c>
      <c r="J24" s="6" t="n">
        <v>1007.61</v>
      </c>
      <c r="K24" s="6" t="n">
        <v>1870.8</v>
      </c>
      <c r="L24" s="6" t="n">
        <v>1425.32</v>
      </c>
      <c r="M24" s="6" t="n">
        <v>968.67</v>
      </c>
      <c r="N24" s="6" t="n">
        <v>1924.24</v>
      </c>
      <c r="O24" s="6" t="n">
        <v>143370149.04</v>
      </c>
      <c r="P24" s="6" t="n">
        <v>123512651.44</v>
      </c>
      <c r="Q24" s="6" t="n">
        <v>166005752.43</v>
      </c>
      <c r="R24" s="6" t="n">
        <f aca="false">O24/C24</f>
        <v>10013.2104846313</v>
      </c>
      <c r="S24" s="6"/>
      <c r="T24" s="5" t="s">
        <v>95</v>
      </c>
    </row>
    <row r="25" s="5" customFormat="true" ht="14.25" hidden="false" customHeight="true" outlineLevel="0" collapsed="false">
      <c r="A25" s="5" t="s">
        <v>140</v>
      </c>
      <c r="B25" s="5" t="s">
        <v>41</v>
      </c>
      <c r="C25" s="6" t="n">
        <v>854686.104075455</v>
      </c>
      <c r="D25" s="6" t="n">
        <v>795432.013231098</v>
      </c>
      <c r="E25" s="6" t="n">
        <v>926775.434461791</v>
      </c>
      <c r="F25" s="6" t="n">
        <v>899975.398755404</v>
      </c>
      <c r="G25" s="6" t="n">
        <v>829663.621384578</v>
      </c>
      <c r="H25" s="6" t="n">
        <v>991443.839725225</v>
      </c>
      <c r="I25" s="6" t="n">
        <v>109111.208671187</v>
      </c>
      <c r="J25" s="6" t="n">
        <v>79453.4627512032</v>
      </c>
      <c r="K25" s="6" t="n">
        <v>141117.032723632</v>
      </c>
      <c r="L25" s="6" t="n">
        <v>113740.386591337</v>
      </c>
      <c r="M25" s="6" t="n">
        <v>82678.9667885057</v>
      </c>
      <c r="N25" s="6" t="n">
        <v>147393.036222734</v>
      </c>
      <c r="O25" s="6" t="n">
        <v>4390223384.54</v>
      </c>
      <c r="P25" s="6" t="n">
        <v>3857304770.23</v>
      </c>
      <c r="Q25" s="6" t="n">
        <v>4987416352.07</v>
      </c>
      <c r="R25" s="6" t="n">
        <f aca="false">O25/C25</f>
        <v>5136.65000940792</v>
      </c>
      <c r="S25" s="6"/>
      <c r="T25" s="5" t="s">
        <v>95</v>
      </c>
      <c r="U25" s="5" t="s">
        <v>96</v>
      </c>
    </row>
    <row r="27" s="5" customFormat="true" ht="14.25" hidden="false" customHeight="true" outlineLevel="0" collapsed="false">
      <c r="B27" s="5" t="s">
        <v>107</v>
      </c>
      <c r="C27" s="6" t="n">
        <v>78168.58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 t="n">
        <v>140000014.72</v>
      </c>
      <c r="P27" s="6" t="n">
        <v>118251258.1</v>
      </c>
      <c r="Q27" s="6" t="n">
        <v>163368547.17</v>
      </c>
      <c r="R27" s="6" t="n">
        <f aca="false">O27/C27</f>
        <v>1791.00112500445</v>
      </c>
      <c r="S27" s="6"/>
    </row>
    <row r="28" s="5" customFormat="true" ht="14.25" hidden="false" customHeight="true" outlineLevel="0" collapsed="false">
      <c r="B28" s="5" t="s">
        <v>109</v>
      </c>
      <c r="C28" s="6" t="n">
        <v>15743971.0042746</v>
      </c>
      <c r="D28" s="6" t="n">
        <v>14364497.2140832</v>
      </c>
      <c r="E28" s="6" t="n">
        <v>17545873.6579111</v>
      </c>
      <c r="F28" s="6" t="n">
        <v>15821256.8873382</v>
      </c>
      <c r="G28" s="6" t="n">
        <v>14433449.6615967</v>
      </c>
      <c r="H28" s="6" t="n">
        <v>17650415.9635896</v>
      </c>
      <c r="I28" s="6" t="n">
        <v>855410.083701938</v>
      </c>
      <c r="J28" s="6" t="n">
        <v>613860.082603412</v>
      </c>
      <c r="K28" s="6" t="n">
        <v>1162395.60765982</v>
      </c>
      <c r="L28" s="6" t="n">
        <v>848156.227492581</v>
      </c>
      <c r="M28" s="6" t="n">
        <v>612399.176327441</v>
      </c>
      <c r="N28" s="6" t="n">
        <v>1155016.82854572</v>
      </c>
      <c r="O28" s="6" t="n">
        <f aca="false">O7+O15</f>
        <v>3881872434.61</v>
      </c>
      <c r="P28" s="6" t="n">
        <f aca="false">P7+P15</f>
        <v>3420025623.81</v>
      </c>
      <c r="Q28" s="6" t="n">
        <f aca="false">Q7+Q15</f>
        <v>4406748895.11</v>
      </c>
      <c r="R28" s="6" t="n">
        <f aca="false">O28/C28</f>
        <v>246.562473568837</v>
      </c>
      <c r="S28" s="6"/>
    </row>
    <row r="29" s="5" customFormat="true" ht="14.25" hidden="false" customHeight="true" outlineLevel="0" collapsed="false">
      <c r="B29" s="5" t="s">
        <v>108</v>
      </c>
      <c r="C29" s="6" t="n">
        <v>1898482.68</v>
      </c>
      <c r="D29" s="6" t="n">
        <v>1343061.31</v>
      </c>
      <c r="E29" s="6" t="n">
        <v>2714837.96</v>
      </c>
      <c r="F29" s="6" t="n">
        <v>1781834.56</v>
      </c>
      <c r="G29" s="6" t="n">
        <v>1129679.41</v>
      </c>
      <c r="H29" s="6" t="n">
        <v>2691574.07</v>
      </c>
      <c r="I29" s="6" t="n">
        <v>42325.49</v>
      </c>
      <c r="J29" s="6" t="n">
        <v>24740.05</v>
      </c>
      <c r="K29" s="6" t="n">
        <v>70665.23</v>
      </c>
      <c r="L29" s="6" t="n">
        <v>37810.51</v>
      </c>
      <c r="M29" s="6" t="n">
        <v>21539.19</v>
      </c>
      <c r="N29" s="6" t="n">
        <v>66532.91</v>
      </c>
      <c r="O29" s="6" t="n">
        <v>887394746.99</v>
      </c>
      <c r="P29" s="6" t="n">
        <v>783193837.67</v>
      </c>
      <c r="Q29" s="6" t="n">
        <v>1003931022.47</v>
      </c>
      <c r="R29" s="6" t="n">
        <f aca="false">O29/C29</f>
        <v>467.423146041027</v>
      </c>
      <c r="S29" s="6"/>
    </row>
    <row r="30" s="5" customFormat="true" ht="14.25" hidden="false" customHeight="true" outlineLevel="0" collapsed="false">
      <c r="B30" s="5" t="s">
        <v>131</v>
      </c>
      <c r="C30" s="6" t="n">
        <v>7187495.63587619</v>
      </c>
      <c r="D30" s="6" t="n">
        <v>6328534.55612764</v>
      </c>
      <c r="E30" s="6" t="n">
        <v>8127458.07225968</v>
      </c>
      <c r="F30" s="6" t="n">
        <v>7284227.21533304</v>
      </c>
      <c r="G30" s="6" t="n">
        <v>6399100.31840392</v>
      </c>
      <c r="H30" s="6" t="n">
        <v>8242198.89853774</v>
      </c>
      <c r="I30" s="6" t="n">
        <v>260081.29065689</v>
      </c>
      <c r="J30" s="6" t="n">
        <v>124856.076528179</v>
      </c>
      <c r="K30" s="6" t="n">
        <v>562331.560068736</v>
      </c>
      <c r="L30" s="6" t="n">
        <v>261824.490810384</v>
      </c>
      <c r="M30" s="6" t="n">
        <v>125875.217514517</v>
      </c>
      <c r="N30" s="6" t="n">
        <v>566278.805059237</v>
      </c>
      <c r="O30" s="6" t="n">
        <v>5954558998.13</v>
      </c>
      <c r="P30" s="6" t="n">
        <v>5111057711.62</v>
      </c>
      <c r="Q30" s="6" t="n">
        <v>6848862608.36</v>
      </c>
      <c r="R30" s="6" t="n">
        <f aca="false">O30/C30</f>
        <v>828.460885375426</v>
      </c>
      <c r="S30" s="6"/>
      <c r="T30" s="5" t="s">
        <v>95</v>
      </c>
    </row>
    <row r="32" customFormat="false" ht="14.25" hidden="false" customHeight="true" outlineLevel="0" collapsed="false">
      <c r="D32" s="1" t="s">
        <v>125</v>
      </c>
      <c r="E32" s="1" t="n">
        <f aca="false">C7/C28</f>
        <v>0.823639368054493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9.88"/>
    <col collapsed="false" customWidth="true" hidden="false" outlineLevel="0" max="6" min="3" style="1" width="15.56"/>
    <col collapsed="false" customWidth="true" hidden="false" outlineLevel="0" max="7" min="7" style="1" width="18.22"/>
    <col collapsed="false" customWidth="true" hidden="false" outlineLevel="0" max="8" min="8" style="1" width="20.11"/>
    <col collapsed="false" customWidth="true" hidden="false" outlineLevel="0" max="15" min="9" style="1" width="15.56"/>
    <col collapsed="false" customWidth="true" hidden="false" outlineLevel="0" max="16" min="16" style="1" width="14.67"/>
    <col collapsed="false" customWidth="true" hidden="false" outlineLevel="0" max="17" min="17" style="1" width="22.56"/>
    <col collapsed="false" customWidth="true" hidden="false" outlineLevel="0" max="18" min="18" style="1" width="17.22"/>
    <col collapsed="false" customWidth="true" hidden="false" outlineLevel="0" max="19" min="19" style="1" width="17.44"/>
    <col collapsed="false" customWidth="true" hidden="false" outlineLevel="0" max="20" min="20" style="1" width="15.33"/>
    <col collapsed="false" customWidth="true" hidden="false" outlineLevel="0" max="21" min="21" style="1" width="11.56"/>
  </cols>
  <sheetData>
    <row r="1" s="17" customFormat="true" ht="14.25" hidden="false" customHeight="true" outlineLevel="0" collapsed="false">
      <c r="A1" s="18" t="s">
        <v>72</v>
      </c>
      <c r="B1" s="18" t="s">
        <v>73</v>
      </c>
      <c r="C1" s="18" t="s">
        <v>74</v>
      </c>
      <c r="D1" s="18" t="s">
        <v>75</v>
      </c>
      <c r="E1" s="18" t="s">
        <v>76</v>
      </c>
      <c r="F1" s="18" t="s">
        <v>77</v>
      </c>
      <c r="G1" s="18" t="s">
        <v>78</v>
      </c>
      <c r="H1" s="18" t="s">
        <v>79</v>
      </c>
      <c r="I1" s="18" t="s">
        <v>80</v>
      </c>
      <c r="J1" s="18" t="s">
        <v>81</v>
      </c>
      <c r="K1" s="18" t="s">
        <v>82</v>
      </c>
      <c r="L1" s="18" t="s">
        <v>83</v>
      </c>
      <c r="M1" s="18" t="s">
        <v>84</v>
      </c>
      <c r="N1" s="18" t="s">
        <v>85</v>
      </c>
      <c r="O1" s="18" t="s">
        <v>86</v>
      </c>
      <c r="P1" s="18" t="s">
        <v>87</v>
      </c>
      <c r="Q1" s="18" t="s">
        <v>88</v>
      </c>
      <c r="R1" s="18" t="s">
        <v>89</v>
      </c>
      <c r="S1" s="18" t="s">
        <v>90</v>
      </c>
      <c r="T1" s="18" t="s">
        <v>91</v>
      </c>
      <c r="U1" s="18" t="s">
        <v>92</v>
      </c>
    </row>
    <row r="2" s="5" customFormat="true" ht="14.25" hidden="false" customHeight="true" outlineLevel="0" collapsed="false">
      <c r="A2" s="5" t="s">
        <v>141</v>
      </c>
      <c r="B2" s="5" t="s">
        <v>19</v>
      </c>
      <c r="C2" s="6" t="n">
        <v>531926.866978076</v>
      </c>
      <c r="D2" s="6" t="n">
        <v>397837.796666076</v>
      </c>
      <c r="E2" s="6" t="n">
        <v>680185.328683082</v>
      </c>
      <c r="F2" s="6" t="n">
        <v>606281.733348715</v>
      </c>
      <c r="G2" s="6" t="n">
        <v>457322.783689976</v>
      </c>
      <c r="H2" s="6" t="n">
        <v>776201.125547219</v>
      </c>
      <c r="I2" s="6" t="n">
        <v>102611.112083466</v>
      </c>
      <c r="J2" s="6" t="n">
        <v>67097.5178898557</v>
      </c>
      <c r="K2" s="6" t="n">
        <v>145571.6128569</v>
      </c>
      <c r="L2" s="6" t="n">
        <v>116644.89547263</v>
      </c>
      <c r="M2" s="6" t="n">
        <v>76078.8490664363</v>
      </c>
      <c r="N2" s="6" t="n">
        <v>163457.902573948</v>
      </c>
      <c r="O2" s="6" t="n">
        <v>5553151000.12</v>
      </c>
      <c r="P2" s="6" t="n">
        <v>5008051029.6</v>
      </c>
      <c r="Q2" s="6" t="n">
        <v>6158325535.34</v>
      </c>
      <c r="R2" s="6" t="n">
        <f aca="false">O2/C2</f>
        <v>10439.6888836767</v>
      </c>
      <c r="S2" s="6"/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141</v>
      </c>
      <c r="B3" s="5" t="s">
        <v>94</v>
      </c>
      <c r="C3" s="6" t="n">
        <v>6725.14666367367</v>
      </c>
      <c r="D3" s="6" t="n">
        <v>4622.89432834559</v>
      </c>
      <c r="E3" s="6" t="n">
        <v>10264.0070137169</v>
      </c>
      <c r="F3" s="6" t="n">
        <v>7648.82299048467</v>
      </c>
      <c r="G3" s="6" t="n">
        <v>5102.21461744488</v>
      </c>
      <c r="H3" s="6" t="n">
        <v>11943.3294105727</v>
      </c>
      <c r="I3" s="6" t="n">
        <v>1130.94565593676</v>
      </c>
      <c r="J3" s="6" t="n">
        <v>738.438196512877</v>
      </c>
      <c r="K3" s="6" t="n">
        <v>1629.13386773503</v>
      </c>
      <c r="L3" s="6" t="n">
        <v>1263.72764935207</v>
      </c>
      <c r="M3" s="6" t="n">
        <v>795.052923049984</v>
      </c>
      <c r="N3" s="6" t="n">
        <v>1871.70305331204</v>
      </c>
      <c r="O3" s="6" t="n">
        <v>582553088.55</v>
      </c>
      <c r="P3" s="6" t="n">
        <v>504536024.08</v>
      </c>
      <c r="Q3" s="6" t="n">
        <v>684134992.09</v>
      </c>
      <c r="R3" s="6" t="n">
        <f aca="false">O3/C3</f>
        <v>86623.1054404656</v>
      </c>
      <c r="S3" s="6"/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141</v>
      </c>
      <c r="B4" s="5" t="s">
        <v>119</v>
      </c>
      <c r="C4" s="6" t="n">
        <v>50879.5095259097</v>
      </c>
      <c r="D4" s="6" t="n">
        <v>36665.9928067461</v>
      </c>
      <c r="E4" s="6" t="n">
        <v>64108.822574099</v>
      </c>
      <c r="F4" s="6" t="n">
        <v>58668.2637658777</v>
      </c>
      <c r="G4" s="6" t="n">
        <v>43959.6393782602</v>
      </c>
      <c r="H4" s="6" t="n">
        <v>72427.44228532</v>
      </c>
      <c r="I4" s="6" t="n">
        <v>4125.82566979985</v>
      </c>
      <c r="J4" s="6" t="n">
        <v>2420.22655338029</v>
      </c>
      <c r="K4" s="6" t="n">
        <v>6052.12579688874</v>
      </c>
      <c r="L4" s="6" t="n">
        <v>4746.93589295487</v>
      </c>
      <c r="M4" s="6" t="n">
        <v>2875.41873135959</v>
      </c>
      <c r="N4" s="6" t="n">
        <v>6614.62852907135</v>
      </c>
      <c r="O4" s="6" t="n">
        <v>636691715.75</v>
      </c>
      <c r="P4" s="6" t="n">
        <v>551964182.14</v>
      </c>
      <c r="Q4" s="6" t="n">
        <v>735902343.15</v>
      </c>
      <c r="R4" s="6" t="n">
        <f aca="false">O4/C4</f>
        <v>12513.7156722349</v>
      </c>
      <c r="S4" s="6"/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141</v>
      </c>
      <c r="B5" s="5" t="s">
        <v>122</v>
      </c>
      <c r="C5" s="6" t="n">
        <v>4380427.97483047</v>
      </c>
      <c r="D5" s="6" t="n">
        <v>4119951.03294058</v>
      </c>
      <c r="E5" s="6" t="n">
        <v>4662714.53973283</v>
      </c>
      <c r="F5" s="6" t="n">
        <v>5306693.56762624</v>
      </c>
      <c r="G5" s="6" t="n">
        <v>4946670.45638235</v>
      </c>
      <c r="H5" s="6" t="n">
        <v>5657186.66653364</v>
      </c>
      <c r="I5" s="6" t="n">
        <v>351399.86514723</v>
      </c>
      <c r="J5" s="6" t="n">
        <v>251918.483239416</v>
      </c>
      <c r="K5" s="6" t="n">
        <v>466646.693417228</v>
      </c>
      <c r="L5" s="6" t="n">
        <v>425168.615215906</v>
      </c>
      <c r="M5" s="6" t="n">
        <v>303458.691750895</v>
      </c>
      <c r="N5" s="6" t="n">
        <v>562756.680667643</v>
      </c>
      <c r="O5" s="6" t="n">
        <v>65202310540.23</v>
      </c>
      <c r="P5" s="6" t="n">
        <v>58361978024.25</v>
      </c>
      <c r="Q5" s="6" t="n">
        <v>72681124933.23</v>
      </c>
      <c r="R5" s="6" t="n">
        <f aca="false">O5/C5</f>
        <v>14884.9178470406</v>
      </c>
      <c r="S5" s="6"/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141</v>
      </c>
      <c r="B6" s="5" t="s">
        <v>26</v>
      </c>
      <c r="C6" s="6" t="n">
        <v>13977279.4014246</v>
      </c>
      <c r="D6" s="6" t="n">
        <v>11884111.1862719</v>
      </c>
      <c r="E6" s="6" t="n">
        <v>16405331.4854596</v>
      </c>
      <c r="F6" s="6" t="n">
        <v>14961816.7298077</v>
      </c>
      <c r="G6" s="6" t="n">
        <v>12650338.845501</v>
      </c>
      <c r="H6" s="6" t="n">
        <v>17601237.7996779</v>
      </c>
      <c r="I6" s="6" t="n">
        <v>613469.951942061</v>
      </c>
      <c r="J6" s="6" t="n">
        <v>438769.113218175</v>
      </c>
      <c r="K6" s="6" t="n">
        <v>850649.477551633</v>
      </c>
      <c r="L6" s="6" t="n">
        <v>654006.355104858</v>
      </c>
      <c r="M6" s="6" t="n">
        <v>466857.849689873</v>
      </c>
      <c r="N6" s="6" t="n">
        <v>911693.743030647</v>
      </c>
      <c r="O6" s="6" t="n">
        <v>4468021733.91</v>
      </c>
      <c r="P6" s="6" t="n">
        <v>4048095651.88</v>
      </c>
      <c r="Q6" s="6" t="n">
        <v>4917507721.4</v>
      </c>
      <c r="R6" s="6" t="n">
        <f aca="false">O6/C6</f>
        <v>319.663190925024</v>
      </c>
      <c r="S6" s="6"/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141</v>
      </c>
      <c r="B7" s="5" t="s">
        <v>9</v>
      </c>
      <c r="C7" s="6" t="n">
        <v>1076267.45399073</v>
      </c>
      <c r="D7" s="6" t="n">
        <v>806851.99459411</v>
      </c>
      <c r="E7" s="6" t="n">
        <v>1393843.38364658</v>
      </c>
      <c r="F7" s="6" t="n">
        <v>1027159.5461896</v>
      </c>
      <c r="G7" s="6" t="n">
        <v>677560.008675485</v>
      </c>
      <c r="H7" s="6" t="n">
        <v>1475741.63538336</v>
      </c>
      <c r="I7" s="6" t="n">
        <v>30495.2566592777</v>
      </c>
      <c r="J7" s="6" t="n">
        <v>19619.369848591</v>
      </c>
      <c r="K7" s="6" t="n">
        <v>44174.0619250252</v>
      </c>
      <c r="L7" s="6" t="n">
        <v>28973.3806291335</v>
      </c>
      <c r="M7" s="6" t="n">
        <v>17545.9749047916</v>
      </c>
      <c r="N7" s="6" t="n">
        <v>44937.6113434739</v>
      </c>
      <c r="O7" s="6" t="n">
        <v>275099520.84</v>
      </c>
      <c r="P7" s="6" t="n">
        <v>239759097.53</v>
      </c>
      <c r="Q7" s="6" t="n">
        <v>316545083.39</v>
      </c>
      <c r="R7" s="6" t="n">
        <f aca="false">O7/C7</f>
        <v>255.605165630484</v>
      </c>
      <c r="S7" s="6"/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141</v>
      </c>
      <c r="B8" s="5" t="s">
        <v>22</v>
      </c>
      <c r="C8" s="6" t="n">
        <v>6525844.22963261</v>
      </c>
      <c r="D8" s="7" t="n">
        <v>5116184.39917989</v>
      </c>
      <c r="E8" s="7" t="n">
        <v>7935504.06008532</v>
      </c>
      <c r="F8" s="6" t="n">
        <v>7268123.95306559</v>
      </c>
      <c r="G8" s="7" t="n">
        <v>5891588.45349355</v>
      </c>
      <c r="H8" s="7" t="n">
        <v>8644659.45263762</v>
      </c>
      <c r="I8" s="6" t="n">
        <f aca="false">I26-I6</f>
        <v>203283.523446539</v>
      </c>
      <c r="J8" s="6" t="n">
        <f aca="false">J26-J6</f>
        <v>147039.873138151</v>
      </c>
      <c r="K8" s="6" t="n">
        <f aca="false">K26-K6</f>
        <v>256866.181090387</v>
      </c>
      <c r="L8" s="6" t="n">
        <f aca="false">L26-L6</f>
        <v>222961.062976592</v>
      </c>
      <c r="M8" s="6" t="n">
        <f aca="false">M26-M6</f>
        <v>160293.05565794</v>
      </c>
      <c r="N8" s="6" t="n">
        <f aca="false">N26-N6</f>
        <v>281192.544405093</v>
      </c>
      <c r="O8" s="5" t="n">
        <v>695076272.82</v>
      </c>
      <c r="P8" s="5" t="n">
        <v>630683545.33</v>
      </c>
      <c r="Q8" s="5" t="n">
        <v>770026747.38</v>
      </c>
      <c r="R8" s="6" t="n">
        <f aca="false">O8/C8</f>
        <v>106.511318438125</v>
      </c>
    </row>
    <row r="9" s="5" customFormat="true" ht="14.25" hidden="false" customHeight="true" outlineLevel="0" collapsed="false">
      <c r="A9" s="5" t="s">
        <v>141</v>
      </c>
      <c r="B9" s="5" t="s">
        <v>120</v>
      </c>
      <c r="C9" s="6" t="n">
        <v>3436993.68428468</v>
      </c>
      <c r="D9" s="6" t="n">
        <v>2841876.02644321</v>
      </c>
      <c r="E9" s="6" t="n">
        <v>4087918.01996027</v>
      </c>
      <c r="F9" s="6" t="n">
        <v>3828643.91567216</v>
      </c>
      <c r="G9" s="6" t="n">
        <v>3148120.05895776</v>
      </c>
      <c r="H9" s="6" t="n">
        <v>4553256.04393024</v>
      </c>
      <c r="I9" s="6" t="n">
        <v>355694.530744252</v>
      </c>
      <c r="J9" s="6" t="n">
        <v>247702.542997861</v>
      </c>
      <c r="K9" s="6" t="n">
        <v>474799.333048809</v>
      </c>
      <c r="L9" s="6" t="n">
        <v>395391.497321171</v>
      </c>
      <c r="M9" s="6" t="n">
        <v>277957.685256764</v>
      </c>
      <c r="N9" s="6" t="n">
        <v>528927.59852987</v>
      </c>
      <c r="O9" s="6" t="n">
        <v>6445033173.39</v>
      </c>
      <c r="P9" s="6" t="n">
        <v>5885609704.24</v>
      </c>
      <c r="Q9" s="6" t="n">
        <v>7111995680.02</v>
      </c>
      <c r="R9" s="6" t="n">
        <f aca="false">O9/C9</f>
        <v>1875.19494227158</v>
      </c>
      <c r="S9" s="6"/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141</v>
      </c>
      <c r="B10" s="5" t="s">
        <v>134</v>
      </c>
      <c r="C10" s="6" t="n">
        <v>1950750.07044683</v>
      </c>
      <c r="D10" s="6" t="n">
        <v>1610200.94648821</v>
      </c>
      <c r="E10" s="6" t="n">
        <v>2311431.39909007</v>
      </c>
      <c r="F10" s="6" t="n">
        <v>1923170.15600479</v>
      </c>
      <c r="G10" s="6" t="n">
        <v>1433341.50244762</v>
      </c>
      <c r="H10" s="6" t="n">
        <v>2537128.48650235</v>
      </c>
      <c r="I10" s="6" t="n">
        <v>8859.55187849511</v>
      </c>
      <c r="J10" s="6" t="n">
        <v>3650.46953349331</v>
      </c>
      <c r="K10" s="6" t="n">
        <v>17236.538157082</v>
      </c>
      <c r="L10" s="6" t="n">
        <v>8774.36772785694</v>
      </c>
      <c r="M10" s="6" t="n">
        <v>3443.50402972528</v>
      </c>
      <c r="N10" s="6" t="n">
        <v>16408.1852967146</v>
      </c>
      <c r="O10" s="6" t="n">
        <v>695558426.8</v>
      </c>
      <c r="P10" s="6" t="n">
        <v>582629068.73</v>
      </c>
      <c r="Q10" s="6" t="n">
        <v>810926949.35</v>
      </c>
      <c r="R10" s="6" t="n">
        <f aca="false">O10/C10</f>
        <v>356.559477986167</v>
      </c>
      <c r="S10" s="6"/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141</v>
      </c>
      <c r="B11" s="5" t="s">
        <v>98</v>
      </c>
      <c r="C11" s="6" t="n">
        <v>1715.45658639267</v>
      </c>
      <c r="D11" s="6" t="n">
        <v>1443.53479381638</v>
      </c>
      <c r="E11" s="6" t="n">
        <v>1998.58911631071</v>
      </c>
      <c r="F11" s="6" t="n">
        <v>2004.2306882112</v>
      </c>
      <c r="G11" s="6" t="n">
        <v>1621.1037009982</v>
      </c>
      <c r="H11" s="6" t="n">
        <v>2465.58106697627</v>
      </c>
      <c r="I11" s="6" t="n">
        <v>204.283802276753</v>
      </c>
      <c r="J11" s="6" t="n">
        <v>139.604704527113</v>
      </c>
      <c r="K11" s="6" t="n">
        <v>281.561943450352</v>
      </c>
      <c r="L11" s="6" t="n">
        <v>237.864822524631</v>
      </c>
      <c r="M11" s="6" t="n">
        <v>161.127046807783</v>
      </c>
      <c r="N11" s="6" t="n">
        <v>346.139351989558</v>
      </c>
      <c r="O11" s="6" t="n">
        <v>695558426.8</v>
      </c>
      <c r="P11" s="6" t="n">
        <v>582629068.73</v>
      </c>
      <c r="Q11" s="6" t="n">
        <v>810926949.35</v>
      </c>
      <c r="R11" s="6" t="n">
        <f aca="false">O11/C11</f>
        <v>405465.479171728</v>
      </c>
      <c r="S11" s="6"/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141</v>
      </c>
      <c r="B12" s="5" t="s">
        <v>142</v>
      </c>
      <c r="C12" s="6" t="n">
        <v>5194.5059747873</v>
      </c>
      <c r="D12" s="6" t="n">
        <v>4357.71431479586</v>
      </c>
      <c r="E12" s="6" t="n">
        <v>6178.64877587874</v>
      </c>
      <c r="F12" s="6" t="n">
        <v>5991.89427128566</v>
      </c>
      <c r="G12" s="6" t="n">
        <v>4862.07359241055</v>
      </c>
      <c r="H12" s="6" t="n">
        <v>7326.32285351291</v>
      </c>
      <c r="I12" s="6" t="n">
        <v>1100.91011362197</v>
      </c>
      <c r="J12" s="6" t="n">
        <v>765.30814578114</v>
      </c>
      <c r="K12" s="6" t="n">
        <v>1476.76537567322</v>
      </c>
      <c r="L12" s="6" t="n">
        <v>1269.39908180102</v>
      </c>
      <c r="M12" s="6" t="n">
        <v>858.205897709469</v>
      </c>
      <c r="N12" s="6" t="n">
        <v>1733.51366396548</v>
      </c>
      <c r="O12" s="6" t="n">
        <v>289343081.1</v>
      </c>
      <c r="P12" s="6" t="n">
        <v>232273900.11</v>
      </c>
      <c r="Q12" s="6" t="n">
        <v>351589950.54</v>
      </c>
      <c r="R12" s="6" t="n">
        <f aca="false">O12/C12</f>
        <v>55701.7515244744</v>
      </c>
      <c r="S12" s="6"/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141</v>
      </c>
      <c r="B13" s="5" t="s">
        <v>12</v>
      </c>
      <c r="C13" s="6" t="n">
        <v>25799.7902585652</v>
      </c>
      <c r="D13" s="6" t="n">
        <v>23967.619257283</v>
      </c>
      <c r="E13" s="6" t="n">
        <v>27832.6085655011</v>
      </c>
      <c r="F13" s="6" t="n">
        <v>29823.17285168</v>
      </c>
      <c r="G13" s="6" t="n">
        <v>27515.1605122054</v>
      </c>
      <c r="H13" s="6" t="n">
        <v>32319.3933761025</v>
      </c>
      <c r="I13" s="6" t="n">
        <v>5807.43682776477</v>
      </c>
      <c r="J13" s="6" t="n">
        <v>4283.45731154203</v>
      </c>
      <c r="K13" s="6" t="n">
        <v>7242.39815377703</v>
      </c>
      <c r="L13" s="6" t="n">
        <v>6694.58896216847</v>
      </c>
      <c r="M13" s="6" t="n">
        <v>4913.63145753443</v>
      </c>
      <c r="N13" s="6" t="n">
        <v>8538.51044897683</v>
      </c>
      <c r="O13" s="6" t="n">
        <v>1071628579.43</v>
      </c>
      <c r="P13" s="6" t="n">
        <v>927356100.03</v>
      </c>
      <c r="Q13" s="6" t="n">
        <v>1252448996.54</v>
      </c>
      <c r="R13" s="6" t="n">
        <f aca="false">O13/C13</f>
        <v>41536.3291209018</v>
      </c>
      <c r="S13" s="6"/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141</v>
      </c>
      <c r="B14" s="5" t="s">
        <v>113</v>
      </c>
      <c r="C14" s="6" t="n">
        <v>485180.828882723</v>
      </c>
      <c r="D14" s="6" t="n">
        <v>263673.217162061</v>
      </c>
      <c r="E14" s="6" t="n">
        <v>799812.818467338</v>
      </c>
      <c r="F14" s="6" t="n">
        <v>540780.257449223</v>
      </c>
      <c r="G14" s="6" t="n">
        <v>294508.800228802</v>
      </c>
      <c r="H14" s="6" t="n">
        <v>880385.447554435</v>
      </c>
      <c r="I14" s="6" t="n">
        <v>43436.886023121</v>
      </c>
      <c r="J14" s="6" t="n">
        <v>22175.5791717777</v>
      </c>
      <c r="K14" s="6" t="n">
        <v>73070.6121205826</v>
      </c>
      <c r="L14" s="6" t="n">
        <v>48354.2223855588</v>
      </c>
      <c r="M14" s="6" t="n">
        <v>24197.150652149</v>
      </c>
      <c r="N14" s="6" t="n">
        <v>82951.3176687673</v>
      </c>
      <c r="O14" s="6" t="n">
        <v>1573283249.57</v>
      </c>
      <c r="P14" s="6" t="n">
        <v>1396138293.12</v>
      </c>
      <c r="Q14" s="6" t="n">
        <v>1784080223.18</v>
      </c>
      <c r="R14" s="6" t="n">
        <f aca="false">O14/C14</f>
        <v>3242.67398032392</v>
      </c>
      <c r="S14" s="6"/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141</v>
      </c>
      <c r="B15" s="5" t="s">
        <v>64</v>
      </c>
      <c r="C15" s="6" t="n">
        <v>2417598.17549864</v>
      </c>
      <c r="D15" s="6" t="n">
        <v>1772221.99335227</v>
      </c>
      <c r="E15" s="6" t="n">
        <v>3176041.81228215</v>
      </c>
      <c r="F15" s="6" t="n">
        <v>2532522.766874</v>
      </c>
      <c r="G15" s="6" t="n">
        <v>1859935.91935656</v>
      </c>
      <c r="H15" s="6" t="n">
        <v>3325939.93951742</v>
      </c>
      <c r="I15" s="6" t="n">
        <v>73735.3941734652</v>
      </c>
      <c r="J15" s="6" t="n">
        <v>33306.5245192887</v>
      </c>
      <c r="K15" s="6" t="n">
        <v>158603.75941377</v>
      </c>
      <c r="L15" s="6" t="n">
        <v>77081.9039655163</v>
      </c>
      <c r="M15" s="6" t="n">
        <v>34599.0402573403</v>
      </c>
      <c r="N15" s="6" t="n">
        <v>167968.355313361</v>
      </c>
      <c r="O15" s="6" t="n">
        <f aca="false">S15*O28</f>
        <v>2544158511.05774</v>
      </c>
      <c r="P15" s="6" t="n">
        <f aca="false">S15*P28</f>
        <v>2239612628.41393</v>
      </c>
      <c r="Q15" s="6" t="n">
        <f aca="false">S15*Q28</f>
        <v>2877956111.68968</v>
      </c>
      <c r="R15" s="6" t="n">
        <f aca="false">O15/C15</f>
        <v>1052.349615764</v>
      </c>
      <c r="S15" s="6" t="n">
        <f aca="false">C15/MAX(C28,C15+C16+C17+C18)</f>
        <v>0.327525539193029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141</v>
      </c>
      <c r="B16" s="5" t="s">
        <v>128</v>
      </c>
      <c r="C16" s="6" t="n">
        <v>730890.330727872</v>
      </c>
      <c r="D16" s="6" t="n">
        <v>574222.790840699</v>
      </c>
      <c r="E16" s="6" t="n">
        <v>918529.47192926</v>
      </c>
      <c r="F16" s="6" t="n">
        <v>822510.31599093</v>
      </c>
      <c r="G16" s="6" t="n">
        <v>627424.639520072</v>
      </c>
      <c r="H16" s="6" t="n">
        <v>1060516.53450838</v>
      </c>
      <c r="I16" s="6" t="n">
        <v>22152.7755598224</v>
      </c>
      <c r="J16" s="6" t="n">
        <v>10253.9154302179</v>
      </c>
      <c r="K16" s="6" t="n">
        <v>45968.2788930006</v>
      </c>
      <c r="L16" s="6" t="n">
        <v>24875.7882011938</v>
      </c>
      <c r="M16" s="6" t="n">
        <v>11338.5584396188</v>
      </c>
      <c r="N16" s="6" t="n">
        <v>51380.7231900661</v>
      </c>
      <c r="O16" s="6" t="n">
        <f aca="false">S16*O28</f>
        <v>769152158.707098</v>
      </c>
      <c r="P16" s="6" t="n">
        <f aca="false">S16*P28</f>
        <v>677081589.187647</v>
      </c>
      <c r="Q16" s="6" t="n">
        <f aca="false">S16*Q28</f>
        <v>870066132.416452</v>
      </c>
      <c r="R16" s="6" t="n">
        <f aca="false">O16/C16</f>
        <v>1052.349615764</v>
      </c>
      <c r="S16" s="6" t="n">
        <f aca="false">C16/MAX(C28,C15+C16+C17+C18)</f>
        <v>0.0990177987759456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141</v>
      </c>
      <c r="B17" s="5" t="s">
        <v>129</v>
      </c>
      <c r="C17" s="6" t="n">
        <v>3669998.0432558</v>
      </c>
      <c r="D17" s="14"/>
      <c r="E17" s="14"/>
      <c r="F17" s="6" t="n">
        <v>4160241.7</v>
      </c>
      <c r="G17" s="14"/>
      <c r="H17" s="14"/>
      <c r="I17" s="6" t="n">
        <v>111726.21595659</v>
      </c>
      <c r="J17" s="14"/>
      <c r="K17" s="14"/>
      <c r="L17" s="6" t="n">
        <v>126514.48944</v>
      </c>
      <c r="M17" s="14"/>
      <c r="N17" s="14"/>
      <c r="O17" s="6" t="n">
        <f aca="false">S17*O28</f>
        <v>3862121030.67487</v>
      </c>
      <c r="P17" s="6" t="n">
        <f aca="false">S17*P28</f>
        <v>3399809797.68684</v>
      </c>
      <c r="Q17" s="6" t="n">
        <f aca="false">S17*Q28</f>
        <v>4368837388.08197</v>
      </c>
      <c r="R17" s="6" t="n">
        <f aca="false">O17/C17</f>
        <v>1052.349615764</v>
      </c>
      <c r="S17" s="6" t="n">
        <f aca="false">C17/MAX(C28,C15+C16+C17+C18)</f>
        <v>0.497195150185285</v>
      </c>
      <c r="T17" s="5" t="s">
        <v>95</v>
      </c>
      <c r="U17" s="5" t="s">
        <v>96</v>
      </c>
    </row>
    <row r="18" customFormat="false" ht="14.25" hidden="false" customHeight="true" outlineLevel="0" collapsed="false">
      <c r="A18" s="5" t="s">
        <v>141</v>
      </c>
      <c r="B18" s="5" t="s">
        <v>130</v>
      </c>
      <c r="C18" s="6" t="n">
        <v>562916.993750435</v>
      </c>
      <c r="D18" s="6" t="n">
        <v>455950.628727713</v>
      </c>
      <c r="E18" s="6" t="n">
        <v>685697.27666363</v>
      </c>
      <c r="F18" s="6" t="n">
        <v>631141.889025951</v>
      </c>
      <c r="G18" s="6" t="n">
        <v>512318.703689398</v>
      </c>
      <c r="H18" s="6" t="n">
        <v>766652.376457164</v>
      </c>
      <c r="I18" s="6" t="n">
        <v>17058.8769885727</v>
      </c>
      <c r="J18" s="6" t="n">
        <v>8251.56268241199</v>
      </c>
      <c r="K18" s="6" t="n">
        <v>37053.0327577533</v>
      </c>
      <c r="L18" s="6" t="n">
        <v>19111.1421442401</v>
      </c>
      <c r="M18" s="6" t="n">
        <v>9240.99075591841</v>
      </c>
      <c r="N18" s="6" t="n">
        <v>41413.5528876113</v>
      </c>
      <c r="O18" s="6" t="n">
        <f aca="false">S18*O28</f>
        <v>592385482.080295</v>
      </c>
      <c r="P18" s="6" t="n">
        <f aca="false">S18*P28</f>
        <v>521474586.111586</v>
      </c>
      <c r="Q18" s="6" t="n">
        <f aca="false">S18*Q28</f>
        <v>670107389.621894</v>
      </c>
      <c r="R18" s="6" t="n">
        <f aca="false">O18/C18</f>
        <v>1052.349615764</v>
      </c>
      <c r="S18" s="6" t="n">
        <f aca="false">C18/MAX(C28,C15+C16+C17+C18)</f>
        <v>0.0762615118457405</v>
      </c>
      <c r="T18" s="5" t="s">
        <v>95</v>
      </c>
      <c r="U18" s="5" t="s">
        <v>96</v>
      </c>
    </row>
    <row r="19" s="5" customFormat="true" ht="14.25" hidden="false" customHeight="true" outlineLevel="0" collapsed="false">
      <c r="A19" s="5" t="s">
        <v>141</v>
      </c>
      <c r="B19" s="5" t="s">
        <v>110</v>
      </c>
      <c r="C19" s="12" t="n">
        <v>2999678.84812543</v>
      </c>
      <c r="D19" s="12" t="n">
        <v>2383110.81568335</v>
      </c>
      <c r="E19" s="12" t="n">
        <v>3646103.95754628</v>
      </c>
      <c r="F19" s="12" t="n">
        <v>3445630.89421788</v>
      </c>
      <c r="G19" s="12" t="n">
        <v>2782490.27028348</v>
      </c>
      <c r="H19" s="12" t="n">
        <v>4179996.66330441</v>
      </c>
      <c r="I19" s="12" t="n">
        <v>232673.655768792</v>
      </c>
      <c r="J19" s="12" t="n">
        <v>156151.03400522</v>
      </c>
      <c r="K19" s="12" t="n">
        <v>327016.522043843</v>
      </c>
      <c r="L19" s="12" t="n">
        <v>266513.767120851</v>
      </c>
      <c r="M19" s="12" t="n">
        <v>177439.982379068</v>
      </c>
      <c r="N19" s="12" t="n">
        <v>373713.286520933</v>
      </c>
      <c r="O19" s="12" t="n">
        <v>3102837568.21</v>
      </c>
      <c r="P19" s="12" t="n">
        <v>2692438352.24</v>
      </c>
      <c r="Q19" s="12" t="n">
        <v>3554191505.58</v>
      </c>
      <c r="R19" s="6" t="n">
        <f aca="false">O19/C19</f>
        <v>1034.38992149077</v>
      </c>
      <c r="S19" s="12"/>
      <c r="T19" s="5" t="s">
        <v>95</v>
      </c>
      <c r="U19" s="5" t="s">
        <v>96</v>
      </c>
    </row>
    <row r="20" s="5" customFormat="true" ht="14.25" hidden="false" customHeight="true" outlineLevel="0" collapsed="false">
      <c r="A20" s="5" t="s">
        <v>141</v>
      </c>
      <c r="B20" s="5" t="s">
        <v>135</v>
      </c>
      <c r="C20" s="6" t="n">
        <v>168970.142743469</v>
      </c>
      <c r="D20" s="6" t="n">
        <v>144528.405822306</v>
      </c>
      <c r="E20" s="6" t="n">
        <v>196922.389291908</v>
      </c>
      <c r="F20" s="6" t="n">
        <v>194675.52825448</v>
      </c>
      <c r="G20" s="6" t="n">
        <v>163785.148613307</v>
      </c>
      <c r="H20" s="6" t="n">
        <v>228864.220618287</v>
      </c>
      <c r="I20" s="6" t="n">
        <v>22894.3454217985</v>
      </c>
      <c r="J20" s="6" t="n">
        <v>16099.4495029212</v>
      </c>
      <c r="K20" s="6" t="n">
        <v>31473.6933203268</v>
      </c>
      <c r="L20" s="6" t="n">
        <v>26373.4175949527</v>
      </c>
      <c r="M20" s="6" t="n">
        <v>18675.7338536395</v>
      </c>
      <c r="N20" s="6" t="n">
        <v>35577.942429051</v>
      </c>
      <c r="O20" s="6" t="n">
        <v>1187939950.94</v>
      </c>
      <c r="P20" s="6" t="n">
        <v>1027224584.4</v>
      </c>
      <c r="Q20" s="6" t="n">
        <v>1366624712.55</v>
      </c>
      <c r="R20" s="6" t="n">
        <f aca="false">O20/C20</f>
        <v>7030.47255362466</v>
      </c>
      <c r="S20" s="6"/>
      <c r="T20" s="5" t="s">
        <v>95</v>
      </c>
      <c r="U20" s="5" t="s">
        <v>96</v>
      </c>
    </row>
    <row r="21" s="5" customFormat="true" ht="14.25" hidden="false" customHeight="true" outlineLevel="0" collapsed="false">
      <c r="A21" s="5" t="s">
        <v>141</v>
      </c>
      <c r="B21" s="5" t="s">
        <v>5</v>
      </c>
      <c r="C21" s="6" t="n">
        <v>339707.66</v>
      </c>
      <c r="D21" s="6" t="n">
        <v>262913.5</v>
      </c>
      <c r="E21" s="6" t="n">
        <v>427805.89</v>
      </c>
      <c r="F21" s="6" t="n">
        <v>293789.54</v>
      </c>
      <c r="G21" s="6" t="n">
        <v>228674.35</v>
      </c>
      <c r="H21" s="6" t="n">
        <v>378832.39</v>
      </c>
      <c r="I21" s="6" t="n">
        <v>11267.87</v>
      </c>
      <c r="J21" s="6" t="n">
        <v>5716.85</v>
      </c>
      <c r="K21" s="6" t="n">
        <v>17954.37</v>
      </c>
      <c r="L21" s="6" t="n">
        <v>10076.52</v>
      </c>
      <c r="M21" s="6" t="n">
        <v>5074.65</v>
      </c>
      <c r="N21" s="6" t="n">
        <v>16690.15</v>
      </c>
      <c r="O21" s="6" t="n">
        <f aca="false">O27*S21</f>
        <v>352138924.063747</v>
      </c>
      <c r="P21" s="6" t="n">
        <f aca="false">P27*S21</f>
        <v>316721697.890154</v>
      </c>
      <c r="Q21" s="6" t="n">
        <f aca="false">Q27*S21</f>
        <v>391970726.02489</v>
      </c>
      <c r="R21" s="6" t="n">
        <f aca="false">O21/C21</f>
        <v>1036.59400575114</v>
      </c>
      <c r="S21" s="6" t="n">
        <f aca="false">C21/C27</f>
        <v>0.301580799056042</v>
      </c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141</v>
      </c>
      <c r="B22" s="5" t="s">
        <v>114</v>
      </c>
      <c r="C22" s="6" t="n">
        <v>171760.769517391</v>
      </c>
      <c r="D22" s="6" t="n">
        <v>153034.36939543</v>
      </c>
      <c r="E22" s="6" t="n">
        <v>193348.579917223</v>
      </c>
      <c r="F22" s="6" t="n">
        <v>193228.615628136</v>
      </c>
      <c r="G22" s="6" t="n">
        <v>171435.414382203</v>
      </c>
      <c r="H22" s="6" t="n">
        <v>219232.650592475</v>
      </c>
      <c r="I22" s="6" t="n">
        <v>20689.8260813741</v>
      </c>
      <c r="J22" s="6" t="n">
        <v>14676.93492289</v>
      </c>
      <c r="K22" s="6" t="n">
        <v>27683.68892168</v>
      </c>
      <c r="L22" s="6" t="n">
        <v>23203.0317425814</v>
      </c>
      <c r="M22" s="6" t="n">
        <v>16350.2461008303</v>
      </c>
      <c r="N22" s="6" t="n">
        <v>30171.1981067333</v>
      </c>
      <c r="O22" s="6" t="n">
        <v>1861246708.73</v>
      </c>
      <c r="P22" s="6" t="n">
        <v>1614738762.45</v>
      </c>
      <c r="Q22" s="6" t="n">
        <v>2113705090.63</v>
      </c>
      <c r="R22" s="6" t="n">
        <f aca="false">O22/C22</f>
        <v>10836.2736960232</v>
      </c>
      <c r="S22" s="6"/>
      <c r="T22" s="5" t="s">
        <v>95</v>
      </c>
      <c r="U22" s="5" t="s">
        <v>96</v>
      </c>
    </row>
    <row r="23" s="5" customFormat="true" ht="13.5" hidden="false" customHeight="true" outlineLevel="0" collapsed="false">
      <c r="A23" s="5" t="s">
        <v>141</v>
      </c>
      <c r="B23" s="5" t="s">
        <v>106</v>
      </c>
      <c r="C23" s="6" t="n">
        <v>14247.57</v>
      </c>
      <c r="D23" s="6" t="n">
        <v>12770.5</v>
      </c>
      <c r="E23" s="6" t="n">
        <v>15828.17</v>
      </c>
      <c r="F23" s="6" t="n">
        <v>15742.97</v>
      </c>
      <c r="G23" s="6" t="n">
        <v>13578.02</v>
      </c>
      <c r="H23" s="6" t="n">
        <v>17931.85</v>
      </c>
      <c r="I23" s="6" t="n">
        <v>1410.25</v>
      </c>
      <c r="J23" s="6" t="n">
        <v>1014.94</v>
      </c>
      <c r="K23" s="6" t="n">
        <v>1851.01</v>
      </c>
      <c r="L23" s="6" t="n">
        <v>1557.3</v>
      </c>
      <c r="M23" s="6" t="n">
        <v>1076.87</v>
      </c>
      <c r="N23" s="6" t="n">
        <v>2081.61</v>
      </c>
      <c r="O23" s="6" t="n">
        <v>137773148.92</v>
      </c>
      <c r="P23" s="6" t="n">
        <v>114508748.02</v>
      </c>
      <c r="Q23" s="6" t="n">
        <v>163178141.73</v>
      </c>
      <c r="R23" s="6" t="n">
        <f aca="false">O23/C23</f>
        <v>9669.94013154524</v>
      </c>
      <c r="S23" s="6"/>
      <c r="T23" s="5" t="s">
        <v>95</v>
      </c>
      <c r="U23" s="5" t="s">
        <v>96</v>
      </c>
    </row>
    <row r="24" customFormat="false" ht="14.25" hidden="false" customHeight="true" outlineLevel="0" collapsed="false">
      <c r="A24" s="5" t="s">
        <v>141</v>
      </c>
      <c r="B24" s="5" t="s">
        <v>41</v>
      </c>
      <c r="C24" s="6" t="n">
        <v>892159.87107151</v>
      </c>
      <c r="D24" s="6" t="n">
        <v>822815.774062686</v>
      </c>
      <c r="E24" s="6" t="n">
        <v>971349.48461743</v>
      </c>
      <c r="F24" s="6" t="n">
        <v>1007880.04808564</v>
      </c>
      <c r="G24" s="6" t="n">
        <v>921221.212658592</v>
      </c>
      <c r="H24" s="6" t="n">
        <v>1106129.38064686</v>
      </c>
      <c r="I24" s="6" t="n">
        <v>118654.333763495</v>
      </c>
      <c r="J24" s="6" t="n">
        <v>86760.7965875582</v>
      </c>
      <c r="K24" s="6" t="n">
        <v>153864.355494131</v>
      </c>
      <c r="L24" s="6" t="n">
        <v>133537.391748377</v>
      </c>
      <c r="M24" s="6" t="n">
        <v>97083.366137097</v>
      </c>
      <c r="N24" s="6" t="n">
        <v>174560.546307612</v>
      </c>
      <c r="O24" s="6" t="n">
        <v>5993967510.61</v>
      </c>
      <c r="P24" s="6" t="n">
        <v>5439305133.55</v>
      </c>
      <c r="Q24" s="6" t="n">
        <v>6640452554.28</v>
      </c>
      <c r="R24" s="6" t="n">
        <f aca="false">O24/C24</f>
        <v>6718.49037932077</v>
      </c>
      <c r="S24" s="6"/>
      <c r="T24" s="5" t="s">
        <v>95</v>
      </c>
      <c r="U24" s="5" t="s">
        <v>96</v>
      </c>
    </row>
    <row r="25" customFormat="false" ht="14.25" hidden="false" customHeight="true" outlineLevel="0" collapsed="false">
      <c r="R25" s="6"/>
    </row>
    <row r="26" s="5" customFormat="true" ht="15" hidden="false" customHeight="true" outlineLevel="0" collapsed="false">
      <c r="B26" s="5" t="s">
        <v>109</v>
      </c>
      <c r="C26" s="12" t="n">
        <v>13163055.0308176</v>
      </c>
      <c r="D26" s="12" t="n">
        <v>12539655.3691757</v>
      </c>
      <c r="E26" s="12" t="n">
        <v>13578668.1396252</v>
      </c>
      <c r="F26" s="12" t="n">
        <v>14507216.3155379</v>
      </c>
      <c r="G26" s="12" t="n">
        <v>13726585.1036295</v>
      </c>
      <c r="H26" s="12" t="n">
        <v>15075174.5529984</v>
      </c>
      <c r="I26" s="12" t="n">
        <v>816753.4753886</v>
      </c>
      <c r="J26" s="12" t="n">
        <v>585808.986356326</v>
      </c>
      <c r="K26" s="12" t="n">
        <v>1107515.65864202</v>
      </c>
      <c r="L26" s="12" t="n">
        <v>876967.41808145</v>
      </c>
      <c r="M26" s="12" t="n">
        <v>627150.905347813</v>
      </c>
      <c r="N26" s="12" t="n">
        <v>1192886.28743574</v>
      </c>
      <c r="O26" s="12" t="n">
        <f aca="false">O6+O8</f>
        <v>5163098006.73</v>
      </c>
      <c r="P26" s="12" t="n">
        <f aca="false">P6+P8</f>
        <v>4678779197.21</v>
      </c>
      <c r="Q26" s="12" t="n">
        <f aca="false">Q6+Q8</f>
        <v>5687534468.78</v>
      </c>
      <c r="R26" s="6" t="n">
        <f aca="false">O26/C26</f>
        <v>392.241618274941</v>
      </c>
      <c r="S26" s="12"/>
    </row>
    <row r="27" s="26" customFormat="true" ht="14.25" hidden="false" customHeight="true" outlineLevel="0" collapsed="false">
      <c r="B27" s="5" t="s">
        <v>108</v>
      </c>
      <c r="C27" s="6" t="n">
        <v>1126423.37</v>
      </c>
      <c r="D27" s="6" t="n">
        <v>753108.29</v>
      </c>
      <c r="E27" s="6" t="n">
        <v>1582121.44</v>
      </c>
      <c r="F27" s="6" t="n">
        <v>1134554.27</v>
      </c>
      <c r="G27" s="6" t="n">
        <v>667667.99</v>
      </c>
      <c r="H27" s="6" t="n">
        <v>1813653.62</v>
      </c>
      <c r="I27" s="6" t="n">
        <v>25615.9</v>
      </c>
      <c r="J27" s="6" t="n">
        <v>14333.24</v>
      </c>
      <c r="K27" s="6" t="n">
        <v>40376.02</v>
      </c>
      <c r="L27" s="6" t="n">
        <v>24800.38</v>
      </c>
      <c r="M27" s="6" t="n">
        <v>13374.09</v>
      </c>
      <c r="N27" s="6" t="n">
        <v>44502</v>
      </c>
      <c r="O27" s="6" t="n">
        <v>1167643713.28</v>
      </c>
      <c r="P27" s="6" t="n">
        <v>1050205115.45</v>
      </c>
      <c r="Q27" s="6" t="n">
        <v>1299720430.65</v>
      </c>
      <c r="R27" s="6" t="n">
        <f aca="false">O27/C27</f>
        <v>1036.59400575114</v>
      </c>
      <c r="S27" s="6"/>
    </row>
    <row r="28" customFormat="false" ht="14.25" hidden="false" customHeight="true" outlineLevel="0" collapsed="false">
      <c r="B28" s="26" t="s">
        <v>131</v>
      </c>
      <c r="C28" s="27" t="n">
        <v>6190197.10921512</v>
      </c>
      <c r="D28" s="27" t="n">
        <v>5515019.3021918</v>
      </c>
      <c r="E28" s="27" t="n">
        <v>6892569.29326449</v>
      </c>
      <c r="F28" s="27" t="n">
        <v>6860166.13053962</v>
      </c>
      <c r="G28" s="27" t="n">
        <v>6099545.13143374</v>
      </c>
      <c r="H28" s="27" t="n">
        <v>7663932.76869824</v>
      </c>
      <c r="I28" s="27" t="n">
        <v>224673.262678571</v>
      </c>
      <c r="J28" s="27" t="n">
        <v>109132.435505318</v>
      </c>
      <c r="K28" s="27" t="n">
        <v>474092.511983698</v>
      </c>
      <c r="L28" s="27" t="n">
        <v>247583.323751401</v>
      </c>
      <c r="M28" s="27" t="n">
        <v>120534.257437613</v>
      </c>
      <c r="N28" s="27" t="n">
        <v>519919.993617644</v>
      </c>
      <c r="O28" s="27" t="n">
        <v>7767817182.52</v>
      </c>
      <c r="P28" s="27" t="n">
        <v>6837978601.4</v>
      </c>
      <c r="Q28" s="27" t="n">
        <v>8786967021.81</v>
      </c>
      <c r="R28" s="27" t="n">
        <f aca="false">O28/C28</f>
        <v>1254.85780912474</v>
      </c>
      <c r="S28" s="27"/>
      <c r="T28" s="26" t="s">
        <v>95</v>
      </c>
      <c r="U28" s="26" t="s">
        <v>96</v>
      </c>
    </row>
    <row r="30" customFormat="false" ht="14.25" hidden="false" customHeight="true" outlineLevel="0" collapsed="false">
      <c r="C30" s="1" t="s">
        <v>125</v>
      </c>
      <c r="D30" s="1" t="n">
        <f aca="false">C6/C26</f>
        <v>1.06185679302417</v>
      </c>
    </row>
  </sheetData>
  <autoFilter ref="A1:U2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25.33"/>
    <col collapsed="false" customWidth="true" hidden="false" outlineLevel="0" max="14" min="3" style="1" width="11.67"/>
    <col collapsed="false" customWidth="true" hidden="false" outlineLevel="0" max="15" min="15" style="1" width="15.33"/>
    <col collapsed="false" customWidth="true" hidden="false" outlineLevel="0" max="17" min="16" style="1" width="14.67"/>
    <col collapsed="false" customWidth="true" hidden="false" outlineLevel="0" max="18" min="18" style="1" width="9.56"/>
  </cols>
  <sheetData>
    <row r="1" customFormat="false" ht="14.25" hidden="false" customHeight="true" outlineLevel="0" collapsed="false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</row>
    <row r="2" s="5" customFormat="true" ht="14.25" hidden="false" customHeight="true" outlineLevel="0" collapsed="false">
      <c r="A2" s="5" t="s">
        <v>143</v>
      </c>
      <c r="B2" s="5" t="s">
        <v>19</v>
      </c>
      <c r="C2" s="6" t="n">
        <v>704664.115127941</v>
      </c>
      <c r="D2" s="6" t="n">
        <v>538085.810807778</v>
      </c>
      <c r="E2" s="6" t="n">
        <v>896126.185614566</v>
      </c>
      <c r="F2" s="6" t="n">
        <v>857824.568329988</v>
      </c>
      <c r="G2" s="6" t="n">
        <v>653859.628722235</v>
      </c>
      <c r="H2" s="6" t="n">
        <v>1092551.8614209</v>
      </c>
      <c r="I2" s="6" t="n">
        <v>128318.319967159</v>
      </c>
      <c r="J2" s="6" t="n">
        <v>86465.5445901085</v>
      </c>
      <c r="K2" s="6" t="n">
        <v>176437.496375707</v>
      </c>
      <c r="L2" s="6" t="n">
        <v>155929.47831931</v>
      </c>
      <c r="M2" s="6" t="n">
        <v>105119.093132315</v>
      </c>
      <c r="N2" s="6" t="n">
        <v>215427.440410268</v>
      </c>
      <c r="O2" s="6" t="n">
        <v>7816272367.81</v>
      </c>
      <c r="P2" s="6" t="n">
        <v>7034173456.19</v>
      </c>
      <c r="Q2" s="6" t="n">
        <v>8750276477.24</v>
      </c>
      <c r="R2" s="6" t="n">
        <f aca="false">O2/C2</f>
        <v>11092.1958419734</v>
      </c>
      <c r="T2" s="5" t="s">
        <v>95</v>
      </c>
      <c r="U2" s="5" t="s">
        <v>96</v>
      </c>
    </row>
    <row r="3" s="5" customFormat="true" ht="14.25" hidden="false" customHeight="true" outlineLevel="0" collapsed="false">
      <c r="A3" s="5" t="s">
        <v>143</v>
      </c>
      <c r="B3" s="5" t="s">
        <v>94</v>
      </c>
      <c r="C3" s="6" t="n">
        <v>4086.65594534394</v>
      </c>
      <c r="D3" s="6" t="n">
        <v>2679.14546308572</v>
      </c>
      <c r="E3" s="6" t="n">
        <v>6439.75841435441</v>
      </c>
      <c r="F3" s="6" t="n">
        <v>4989.07480334724</v>
      </c>
      <c r="G3" s="6" t="n">
        <v>3191.04254019</v>
      </c>
      <c r="H3" s="6" t="n">
        <v>8261.88870699962</v>
      </c>
      <c r="I3" s="6" t="n">
        <v>743.665011054129</v>
      </c>
      <c r="J3" s="6" t="n">
        <v>485.161370726324</v>
      </c>
      <c r="K3" s="6" t="n">
        <v>1058.70766234989</v>
      </c>
      <c r="L3" s="6" t="n">
        <v>898.673152435514</v>
      </c>
      <c r="M3" s="6" t="n">
        <v>574.944828893267</v>
      </c>
      <c r="N3" s="6" t="n">
        <v>1321.77724924253</v>
      </c>
      <c r="O3" s="6" t="n">
        <v>335051289.92</v>
      </c>
      <c r="P3" s="6" t="n">
        <v>291253722.83</v>
      </c>
      <c r="Q3" s="6" t="n">
        <v>384084424.79</v>
      </c>
      <c r="R3" s="6" t="n">
        <f aca="false">O3/C3</f>
        <v>81986.6645005276</v>
      </c>
      <c r="T3" s="5" t="s">
        <v>95</v>
      </c>
      <c r="U3" s="5" t="s">
        <v>96</v>
      </c>
    </row>
    <row r="4" s="5" customFormat="true" ht="14.25" hidden="false" customHeight="true" outlineLevel="0" collapsed="false">
      <c r="A4" s="5" t="s">
        <v>143</v>
      </c>
      <c r="B4" s="5" t="s">
        <v>119</v>
      </c>
      <c r="C4" s="6" t="n">
        <v>30362.6181236187</v>
      </c>
      <c r="D4" s="6" t="n">
        <v>21101.5181689873</v>
      </c>
      <c r="E4" s="6" t="n">
        <v>39158.4510577427</v>
      </c>
      <c r="F4" s="6" t="n">
        <v>37808.6316657699</v>
      </c>
      <c r="G4" s="6" t="n">
        <v>26605.2894732726</v>
      </c>
      <c r="H4" s="6" t="n">
        <v>47349.9242810389</v>
      </c>
      <c r="I4" s="6" t="n">
        <v>2504.79803292039</v>
      </c>
      <c r="J4" s="6" t="n">
        <v>1463.86291229908</v>
      </c>
      <c r="K4" s="6" t="n">
        <v>3676.13879851647</v>
      </c>
      <c r="L4" s="6" t="n">
        <v>3118.60580832716</v>
      </c>
      <c r="M4" s="6" t="n">
        <v>1813.4717905727</v>
      </c>
      <c r="N4" s="6" t="n">
        <v>4477.8259660095</v>
      </c>
      <c r="O4" s="6" t="n">
        <v>424917055.86</v>
      </c>
      <c r="P4" s="6" t="n">
        <v>369232370.56</v>
      </c>
      <c r="Q4" s="6" t="n">
        <v>486023615.39</v>
      </c>
      <c r="R4" s="6" t="n">
        <f aca="false">O4/C4</f>
        <v>13994.7436064304</v>
      </c>
      <c r="T4" s="5" t="s">
        <v>95</v>
      </c>
      <c r="U4" s="5" t="s">
        <v>96</v>
      </c>
    </row>
    <row r="5" s="5" customFormat="true" ht="14.25" hidden="false" customHeight="true" outlineLevel="0" collapsed="false">
      <c r="A5" s="5" t="s">
        <v>143</v>
      </c>
      <c r="B5" s="5" t="s">
        <v>122</v>
      </c>
      <c r="C5" s="6" t="n">
        <v>3044210.48273454</v>
      </c>
      <c r="D5" s="6" t="n">
        <v>2832299.94453683</v>
      </c>
      <c r="E5" s="6" t="n">
        <v>3279949.878429</v>
      </c>
      <c r="F5" s="6" t="n">
        <v>3999129.44614664</v>
      </c>
      <c r="G5" s="6" t="n">
        <v>3693057.89157227</v>
      </c>
      <c r="H5" s="6" t="n">
        <v>4317812.27895196</v>
      </c>
      <c r="I5" s="6" t="n">
        <v>247507.436583653</v>
      </c>
      <c r="J5" s="6" t="n">
        <v>181758.549189998</v>
      </c>
      <c r="K5" s="6" t="n">
        <v>322720.970281139</v>
      </c>
      <c r="L5" s="6" t="n">
        <v>325212.315022351</v>
      </c>
      <c r="M5" s="6" t="n">
        <v>238670.872311178</v>
      </c>
      <c r="N5" s="6" t="n">
        <v>424786.814961049</v>
      </c>
      <c r="O5" s="6" t="n">
        <v>48466221036.54</v>
      </c>
      <c r="P5" s="6" t="n">
        <v>43296965294.19</v>
      </c>
      <c r="Q5" s="6" t="n">
        <v>53808159212.79</v>
      </c>
      <c r="R5" s="6" t="n">
        <f aca="false">O5/C5</f>
        <v>15920.7851465658</v>
      </c>
      <c r="T5" s="5" t="s">
        <v>95</v>
      </c>
      <c r="U5" s="5" t="s">
        <v>96</v>
      </c>
    </row>
    <row r="6" s="5" customFormat="true" ht="14.25" hidden="false" customHeight="true" outlineLevel="0" collapsed="false">
      <c r="A6" s="5" t="s">
        <v>143</v>
      </c>
      <c r="B6" s="5" t="s">
        <v>26</v>
      </c>
      <c r="C6" s="6" t="n">
        <v>11179827.9549836</v>
      </c>
      <c r="D6" s="6" t="n">
        <v>9788615.3160982</v>
      </c>
      <c r="E6" s="6" t="n">
        <v>12724256.7702966</v>
      </c>
      <c r="F6" s="6" t="n">
        <v>12930335.1028661</v>
      </c>
      <c r="G6" s="6" t="n">
        <v>11260878.0289219</v>
      </c>
      <c r="H6" s="6" t="n">
        <v>14767700.5188871</v>
      </c>
      <c r="I6" s="6" t="n">
        <v>483578.580876373</v>
      </c>
      <c r="J6" s="6" t="n">
        <v>345341.140392255</v>
      </c>
      <c r="K6" s="6" t="n">
        <v>645933.539615901</v>
      </c>
      <c r="L6" s="6" t="n">
        <v>556585.031703794</v>
      </c>
      <c r="M6" s="6" t="n">
        <v>398067.261909463</v>
      </c>
      <c r="N6" s="6" t="n">
        <v>746034.177808476</v>
      </c>
      <c r="O6" s="6" t="n">
        <v>4804770558.04</v>
      </c>
      <c r="P6" s="6" t="n">
        <v>4370113032.05</v>
      </c>
      <c r="Q6" s="6" t="n">
        <v>5302135186.91</v>
      </c>
      <c r="R6" s="6" t="n">
        <f aca="false">O6/C6</f>
        <v>429.77142200996</v>
      </c>
      <c r="T6" s="5" t="s">
        <v>95</v>
      </c>
      <c r="U6" s="5" t="s">
        <v>96</v>
      </c>
    </row>
    <row r="7" s="5" customFormat="true" ht="14.25" hidden="false" customHeight="true" outlineLevel="0" collapsed="false">
      <c r="A7" s="5" t="s">
        <v>143</v>
      </c>
      <c r="B7" s="5" t="s">
        <v>9</v>
      </c>
      <c r="C7" s="6" t="n">
        <v>811030.380751142</v>
      </c>
      <c r="D7" s="6" t="n">
        <v>635802.645403113</v>
      </c>
      <c r="E7" s="6" t="n">
        <v>1029077.52094266</v>
      </c>
      <c r="F7" s="6" t="n">
        <v>829706.794628063</v>
      </c>
      <c r="G7" s="6" t="n">
        <v>565343.35781934</v>
      </c>
      <c r="H7" s="6" t="n">
        <v>1136747.25484028</v>
      </c>
      <c r="I7" s="6" t="n">
        <v>22272.6701715731</v>
      </c>
      <c r="J7" s="6" t="n">
        <v>14623.9944630626</v>
      </c>
      <c r="K7" s="6" t="n">
        <v>31182.2857798684</v>
      </c>
      <c r="L7" s="6" t="n">
        <v>22728.8429993719</v>
      </c>
      <c r="M7" s="6" t="n">
        <v>14414.5339803564</v>
      </c>
      <c r="N7" s="6" t="n">
        <v>35024.8080721814</v>
      </c>
      <c r="O7" s="6" t="n">
        <v>230717437.6</v>
      </c>
      <c r="P7" s="6" t="n">
        <v>200295005.57</v>
      </c>
      <c r="Q7" s="6" t="n">
        <v>265433617.26</v>
      </c>
      <c r="R7" s="6" t="n">
        <f aca="false">O7/C7</f>
        <v>284.474469854408</v>
      </c>
      <c r="T7" s="5" t="s">
        <v>95</v>
      </c>
      <c r="U7" s="5" t="s">
        <v>96</v>
      </c>
    </row>
    <row r="8" s="5" customFormat="true" ht="14.25" hidden="false" customHeight="true" outlineLevel="0" collapsed="false">
      <c r="A8" s="5" t="s">
        <v>143</v>
      </c>
      <c r="B8" s="5" t="s">
        <v>22</v>
      </c>
      <c r="C8" s="6" t="n">
        <v>4510144.59686344</v>
      </c>
      <c r="D8" s="7" t="n">
        <v>3783591.07920091</v>
      </c>
      <c r="E8" s="7" t="n">
        <v>5236698.11452596</v>
      </c>
      <c r="F8" s="6" t="n">
        <v>5501150.58963567</v>
      </c>
      <c r="G8" s="7" t="n">
        <v>4592129.00473545</v>
      </c>
      <c r="H8" s="7" t="n">
        <v>6410172.17453588</v>
      </c>
      <c r="I8" s="6" t="n">
        <f aca="false">I28-I6</f>
        <v>145067.664361995</v>
      </c>
      <c r="J8" s="6" t="n">
        <f aca="false">J28-J6</f>
        <v>105522.248315753</v>
      </c>
      <c r="K8" s="6" t="n">
        <f aca="false">K28-K6</f>
        <v>189946.217274995</v>
      </c>
      <c r="L8" s="6" t="n">
        <f aca="false">L28-L6</f>
        <v>173321.38840594</v>
      </c>
      <c r="M8" s="6" t="n">
        <f aca="false">M28-M6</f>
        <v>125293.684125603</v>
      </c>
      <c r="N8" s="6" t="n">
        <f aca="false">N28-N6</f>
        <v>226591.089111821</v>
      </c>
      <c r="O8" s="5" t="n">
        <v>484181886.72</v>
      </c>
      <c r="P8" s="5" t="n">
        <v>443013253.81</v>
      </c>
      <c r="Q8" s="5" t="n">
        <v>540177413.3</v>
      </c>
      <c r="R8" s="6" t="n">
        <f aca="false">O8/C8</f>
        <v>107.353960903321</v>
      </c>
    </row>
    <row r="9" s="5" customFormat="true" ht="14.25" hidden="false" customHeight="true" outlineLevel="0" collapsed="false">
      <c r="A9" s="5" t="s">
        <v>143</v>
      </c>
      <c r="B9" s="5" t="s">
        <v>120</v>
      </c>
      <c r="C9" s="6" t="n">
        <v>2505890.05900768</v>
      </c>
      <c r="D9" s="6" t="n">
        <v>2092411.17811106</v>
      </c>
      <c r="E9" s="6" t="n">
        <v>2952056.62415694</v>
      </c>
      <c r="F9" s="6" t="n">
        <v>3010649.68494495</v>
      </c>
      <c r="G9" s="6" t="n">
        <v>2524978.51288733</v>
      </c>
      <c r="H9" s="6" t="n">
        <v>3568785.21920294</v>
      </c>
      <c r="I9" s="6" t="n">
        <v>247481.311711949</v>
      </c>
      <c r="J9" s="6" t="n">
        <v>174430.331934127</v>
      </c>
      <c r="K9" s="6" t="n">
        <v>326409.438283817</v>
      </c>
      <c r="L9" s="6" t="n">
        <v>297166.834317205</v>
      </c>
      <c r="M9" s="6" t="n">
        <v>209272.178224677</v>
      </c>
      <c r="N9" s="6" t="n">
        <v>390071.019636641</v>
      </c>
      <c r="O9" s="6" t="n">
        <v>4555591356.65</v>
      </c>
      <c r="P9" s="6" t="n">
        <v>4170330210.76</v>
      </c>
      <c r="Q9" s="6" t="n">
        <v>4984363675.81</v>
      </c>
      <c r="R9" s="6" t="n">
        <f aca="false">O9/C9</f>
        <v>1817.95340153669</v>
      </c>
      <c r="T9" s="5" t="s">
        <v>95</v>
      </c>
      <c r="U9" s="5" t="s">
        <v>96</v>
      </c>
    </row>
    <row r="10" s="5" customFormat="true" ht="14.25" hidden="false" customHeight="true" outlineLevel="0" collapsed="false">
      <c r="A10" s="5" t="s">
        <v>143</v>
      </c>
      <c r="B10" s="5" t="s">
        <v>134</v>
      </c>
      <c r="C10" s="6" t="n">
        <v>1769488.83224827</v>
      </c>
      <c r="D10" s="6" t="n">
        <v>1504495.50371783</v>
      </c>
      <c r="E10" s="6" t="n">
        <v>2076046.58419769</v>
      </c>
      <c r="F10" s="6" t="n">
        <v>1994090.78956152</v>
      </c>
      <c r="G10" s="6" t="n">
        <v>1483783.59801177</v>
      </c>
      <c r="H10" s="6" t="n">
        <v>2522779.51154633</v>
      </c>
      <c r="I10" s="6" t="n">
        <v>7575.1383908316</v>
      </c>
      <c r="J10" s="6" t="n">
        <v>3246.43527508717</v>
      </c>
      <c r="K10" s="6" t="n">
        <v>15762.2807607786</v>
      </c>
      <c r="L10" s="6" t="n">
        <v>8513.48410218379</v>
      </c>
      <c r="M10" s="6" t="n">
        <v>3544.96108518304</v>
      </c>
      <c r="N10" s="6" t="n">
        <v>17161.2000817554</v>
      </c>
      <c r="O10" s="6" t="n">
        <v>1351679119.67</v>
      </c>
      <c r="P10" s="6" t="n">
        <v>1121070349.87</v>
      </c>
      <c r="Q10" s="6" t="n">
        <v>1610950172.06</v>
      </c>
      <c r="R10" s="6" t="n">
        <f aca="false">O10/C10</f>
        <v>763.881124896725</v>
      </c>
      <c r="T10" s="5" t="s">
        <v>95</v>
      </c>
      <c r="U10" s="5" t="s">
        <v>96</v>
      </c>
    </row>
    <row r="11" s="5" customFormat="true" ht="14.25" hidden="false" customHeight="true" outlineLevel="0" collapsed="false">
      <c r="A11" s="5" t="s">
        <v>143</v>
      </c>
      <c r="B11" s="5" t="s">
        <v>98</v>
      </c>
      <c r="C11" s="6" t="n">
        <v>1377.29944446266</v>
      </c>
      <c r="D11" s="6" t="n">
        <v>1115.58180721321</v>
      </c>
      <c r="E11" s="6" t="n">
        <v>1736.17313816099</v>
      </c>
      <c r="F11" s="6" t="n">
        <v>1713.39139619116</v>
      </c>
      <c r="G11" s="6" t="n">
        <v>1403.87349015109</v>
      </c>
      <c r="H11" s="6" t="n">
        <v>2231.89096456427</v>
      </c>
      <c r="I11" s="6" t="n">
        <v>178.784982119012</v>
      </c>
      <c r="J11" s="6" t="n">
        <v>118.590900895469</v>
      </c>
      <c r="K11" s="6" t="n">
        <v>249.459028618424</v>
      </c>
      <c r="L11" s="6" t="n">
        <v>223.216620941659</v>
      </c>
      <c r="M11" s="6" t="n">
        <v>151.210434859107</v>
      </c>
      <c r="N11" s="6" t="n">
        <v>325.553490854914</v>
      </c>
      <c r="O11" s="6" t="n">
        <v>500805318.51</v>
      </c>
      <c r="P11" s="6" t="n">
        <v>416778520.13</v>
      </c>
      <c r="Q11" s="6" t="n">
        <v>597189968.68</v>
      </c>
      <c r="R11" s="6" t="n">
        <f aca="false">O11/C11</f>
        <v>363613.969731458</v>
      </c>
      <c r="T11" s="5" t="s">
        <v>95</v>
      </c>
      <c r="U11" s="5" t="s">
        <v>96</v>
      </c>
    </row>
    <row r="12" s="5" customFormat="true" ht="14.25" hidden="false" customHeight="true" outlineLevel="0" collapsed="false">
      <c r="A12" s="5" t="s">
        <v>143</v>
      </c>
      <c r="B12" s="6" t="s">
        <v>44</v>
      </c>
      <c r="C12" s="6" t="n">
        <v>3788.50522021629</v>
      </c>
      <c r="D12" s="6" t="n">
        <v>3152.91354020481</v>
      </c>
      <c r="E12" s="6" t="n">
        <v>4521.28136996588</v>
      </c>
      <c r="F12" s="6" t="n">
        <v>4748.75694578461</v>
      </c>
      <c r="G12" s="6" t="n">
        <v>3750.36162824711</v>
      </c>
      <c r="H12" s="6" t="n">
        <v>5860.89370121048</v>
      </c>
      <c r="I12" s="6" t="n">
        <v>801.22486997146</v>
      </c>
      <c r="J12" s="6" t="n">
        <v>563.840852625345</v>
      </c>
      <c r="K12" s="6" t="n">
        <v>1114.85752116466</v>
      </c>
      <c r="L12" s="6" t="n">
        <v>1004.73323397601</v>
      </c>
      <c r="M12" s="6" t="n">
        <v>690.450776523581</v>
      </c>
      <c r="N12" s="6" t="n">
        <v>1413.60624742043</v>
      </c>
      <c r="O12" s="6" t="n">
        <v>190545799.02</v>
      </c>
      <c r="P12" s="6" t="n">
        <v>153293815.02</v>
      </c>
      <c r="Q12" s="6" t="n">
        <v>235388473.56</v>
      </c>
      <c r="R12" s="6" t="n">
        <f aca="false">O12/C12</f>
        <v>50295.7731200174</v>
      </c>
      <c r="T12" s="5" t="s">
        <v>95</v>
      </c>
      <c r="U12" s="5" t="s">
        <v>96</v>
      </c>
    </row>
    <row r="13" s="5" customFormat="true" ht="14.25" hidden="false" customHeight="true" outlineLevel="0" collapsed="false">
      <c r="A13" s="5" t="s">
        <v>143</v>
      </c>
      <c r="B13" s="5" t="s">
        <v>12</v>
      </c>
      <c r="C13" s="6" t="n">
        <v>15121.1812613883</v>
      </c>
      <c r="D13" s="6" t="n">
        <v>13874.6461323254</v>
      </c>
      <c r="E13" s="6" t="n">
        <v>16335.7502692263</v>
      </c>
      <c r="F13" s="6" t="n">
        <v>18786.4196910406</v>
      </c>
      <c r="G13" s="6" t="n">
        <v>17199.7397457886</v>
      </c>
      <c r="H13" s="6" t="n">
        <v>20359.100972369</v>
      </c>
      <c r="I13" s="6" t="n">
        <v>3312.63400115607</v>
      </c>
      <c r="J13" s="6" t="n">
        <v>2433.34797966028</v>
      </c>
      <c r="K13" s="6" t="n">
        <v>4107.11005540837</v>
      </c>
      <c r="L13" s="6" t="n">
        <v>4093.397233259</v>
      </c>
      <c r="M13" s="6" t="n">
        <v>3043.08858112612</v>
      </c>
      <c r="N13" s="6" t="n">
        <v>5079.20530614443</v>
      </c>
      <c r="O13" s="6" t="n">
        <v>379865665.26</v>
      </c>
      <c r="P13" s="6" t="n">
        <v>321628790.94</v>
      </c>
      <c r="Q13" s="6" t="n">
        <v>446897169.69</v>
      </c>
      <c r="R13" s="6" t="n">
        <f aca="false">O13/C13</f>
        <v>25121.4279290455</v>
      </c>
      <c r="T13" s="5" t="s">
        <v>95</v>
      </c>
      <c r="U13" s="5" t="s">
        <v>96</v>
      </c>
    </row>
    <row r="14" s="5" customFormat="true" ht="14.25" hidden="false" customHeight="true" outlineLevel="0" collapsed="false">
      <c r="A14" s="5" t="s">
        <v>143</v>
      </c>
      <c r="B14" s="5" t="s">
        <v>113</v>
      </c>
      <c r="C14" s="6" t="n">
        <v>340341.495380347</v>
      </c>
      <c r="D14" s="6" t="n">
        <v>188916.1054965</v>
      </c>
      <c r="E14" s="6" t="n">
        <v>565641.326576117</v>
      </c>
      <c r="F14" s="6" t="n">
        <v>405551.245148952</v>
      </c>
      <c r="G14" s="6" t="n">
        <v>226342.810092617</v>
      </c>
      <c r="H14" s="6" t="n">
        <v>676649.708184096</v>
      </c>
      <c r="I14" s="6" t="n">
        <v>29719.4531340086</v>
      </c>
      <c r="J14" s="6" t="n">
        <v>14982.8229970668</v>
      </c>
      <c r="K14" s="6" t="n">
        <v>54666.2945037166</v>
      </c>
      <c r="L14" s="6" t="n">
        <v>35406.1441371807</v>
      </c>
      <c r="M14" s="6" t="n">
        <v>18414.4436721639</v>
      </c>
      <c r="N14" s="6" t="n">
        <v>63595.6697738213</v>
      </c>
      <c r="O14" s="6" t="n">
        <v>942684986.96</v>
      </c>
      <c r="P14" s="6" t="n">
        <v>842092951.78</v>
      </c>
      <c r="Q14" s="6" t="n">
        <v>1069276024.76</v>
      </c>
      <c r="R14" s="6" t="n">
        <f aca="false">O14/C14</f>
        <v>2769.82089975983</v>
      </c>
      <c r="T14" s="5" t="s">
        <v>95</v>
      </c>
      <c r="U14" s="5" t="s">
        <v>96</v>
      </c>
    </row>
    <row r="15" s="5" customFormat="true" ht="14.25" hidden="false" customHeight="true" outlineLevel="0" collapsed="false">
      <c r="A15" s="5" t="s">
        <v>143</v>
      </c>
      <c r="B15" s="5" t="s">
        <v>64</v>
      </c>
      <c r="C15" s="6" t="n">
        <v>1775300.48617137</v>
      </c>
      <c r="D15" s="6" t="n">
        <v>1299148.27308127</v>
      </c>
      <c r="E15" s="6" t="n">
        <v>2299201.6312209</v>
      </c>
      <c r="F15" s="6" t="n">
        <v>2012889.80254164</v>
      </c>
      <c r="G15" s="6" t="n">
        <v>1465711.07974717</v>
      </c>
      <c r="H15" s="6" t="n">
        <v>2615376.25891457</v>
      </c>
      <c r="I15" s="6" t="n">
        <v>52763.3692295669</v>
      </c>
      <c r="J15" s="6" t="n">
        <v>23911.3352049325</v>
      </c>
      <c r="K15" s="6" t="n">
        <v>112319.355406134</v>
      </c>
      <c r="L15" s="6" t="n">
        <v>59792.8889752238</v>
      </c>
      <c r="M15" s="6" t="n">
        <v>27065.6333056862</v>
      </c>
      <c r="N15" s="6" t="n">
        <v>128852.491959706</v>
      </c>
      <c r="O15" s="6" t="n">
        <f aca="false">S15*O27</f>
        <v>1812850317.92838</v>
      </c>
      <c r="P15" s="6" t="n">
        <f aca="false">S15*P27</f>
        <v>1604015735.05782</v>
      </c>
      <c r="Q15" s="6" t="n">
        <f aca="false">S15*Q27</f>
        <v>2045272832.11287</v>
      </c>
      <c r="R15" s="6" t="n">
        <f aca="false">O15/C15</f>
        <v>1021.15125413951</v>
      </c>
      <c r="S15" s="5" t="n">
        <f aca="false">C15/MAX(C27,C15+C16+C17+C18)</f>
        <v>0.333036703861994</v>
      </c>
      <c r="T15" s="5" t="s">
        <v>95</v>
      </c>
      <c r="U15" s="5" t="s">
        <v>96</v>
      </c>
    </row>
    <row r="16" s="5" customFormat="true" ht="14.25" hidden="false" customHeight="true" outlineLevel="0" collapsed="false">
      <c r="A16" s="5" t="s">
        <v>143</v>
      </c>
      <c r="B16" s="5" t="s">
        <v>128</v>
      </c>
      <c r="C16" s="6" t="n">
        <v>535262.683421073</v>
      </c>
      <c r="D16" s="6" t="n">
        <v>418399.569143357</v>
      </c>
      <c r="E16" s="6" t="n">
        <v>669655.631933802</v>
      </c>
      <c r="F16" s="6" t="n">
        <v>649268.465869953</v>
      </c>
      <c r="G16" s="6" t="n">
        <v>503588.486787667</v>
      </c>
      <c r="H16" s="6" t="n">
        <v>845132.949800432</v>
      </c>
      <c r="I16" s="6" t="n">
        <v>15830.5387081822</v>
      </c>
      <c r="J16" s="6" t="n">
        <v>7323.20598497065</v>
      </c>
      <c r="K16" s="6" t="n">
        <v>32994.6590153924</v>
      </c>
      <c r="L16" s="6" t="n">
        <v>19179.49487352</v>
      </c>
      <c r="M16" s="6" t="n">
        <v>8851.8596584909</v>
      </c>
      <c r="N16" s="6" t="n">
        <v>40469.7396838681</v>
      </c>
      <c r="O16" s="6" t="n">
        <f aca="false">S16*O27</f>
        <v>546584160.46951</v>
      </c>
      <c r="P16" s="6" t="n">
        <f aca="false">S16*P27</f>
        <v>483619406.00167</v>
      </c>
      <c r="Q16" s="6" t="n">
        <f aca="false">S16*Q27</f>
        <v>616660803.606223</v>
      </c>
      <c r="R16" s="6" t="n">
        <f aca="false">O16/C16</f>
        <v>1021.15125413951</v>
      </c>
      <c r="S16" s="5" t="n">
        <f aca="false">C16/MAX(C27,C15+C16+C17+C18)</f>
        <v>0.100412364653446</v>
      </c>
      <c r="T16" s="5" t="s">
        <v>95</v>
      </c>
      <c r="U16" s="5" t="s">
        <v>96</v>
      </c>
    </row>
    <row r="17" s="5" customFormat="true" ht="14.25" hidden="false" customHeight="true" outlineLevel="0" collapsed="false">
      <c r="A17" s="5" t="s">
        <v>143</v>
      </c>
      <c r="B17" s="5" t="s">
        <v>129</v>
      </c>
      <c r="C17" s="6" t="n">
        <v>2579539.24193567</v>
      </c>
      <c r="D17" s="6" t="n">
        <v>2212844.17047633</v>
      </c>
      <c r="E17" s="6" t="n">
        <v>3023315.04236373</v>
      </c>
      <c r="F17" s="6" t="n">
        <v>3159276.00427695</v>
      </c>
      <c r="G17" s="6" t="n">
        <v>2682191.91219119</v>
      </c>
      <c r="H17" s="6" t="n">
        <v>3745978.16238165</v>
      </c>
      <c r="I17" s="6" t="n">
        <v>76630.4730359445</v>
      </c>
      <c r="J17" s="6" t="n">
        <v>37041.2952935929</v>
      </c>
      <c r="K17" s="6" t="n">
        <v>164198.361606336</v>
      </c>
      <c r="L17" s="6" t="n">
        <v>93838.7220111493</v>
      </c>
      <c r="M17" s="6" t="n">
        <v>45611.5814187919</v>
      </c>
      <c r="N17" s="6" t="n">
        <v>201644.252617523</v>
      </c>
      <c r="O17" s="6" t="n">
        <f aca="false">S17*O27</f>
        <v>2634099732.0047</v>
      </c>
      <c r="P17" s="6" t="n">
        <f aca="false">S17*P27</f>
        <v>2330659832.23334</v>
      </c>
      <c r="Q17" s="6" t="n">
        <f aca="false">S17*Q27</f>
        <v>2971813263.1609</v>
      </c>
      <c r="R17" s="6" t="n">
        <f aca="false">O17/C17</f>
        <v>1021.15125413951</v>
      </c>
      <c r="S17" s="5" t="n">
        <f aca="false">C17/MAX(C27,C15+C16+C17+C18)</f>
        <v>0.483907514986168</v>
      </c>
      <c r="T17" s="5" t="s">
        <v>95</v>
      </c>
      <c r="U17" s="5" t="s">
        <v>96</v>
      </c>
    </row>
    <row r="18" s="5" customFormat="true" ht="14.25" hidden="false" customHeight="true" outlineLevel="0" collapsed="false">
      <c r="A18" s="5" t="s">
        <v>143</v>
      </c>
      <c r="B18" s="5" t="s">
        <v>130</v>
      </c>
      <c r="C18" s="6" t="n">
        <v>440542.726333415</v>
      </c>
      <c r="D18" s="6" t="n">
        <v>360551.691560599</v>
      </c>
      <c r="E18" s="6" t="n">
        <v>533470.492276748</v>
      </c>
      <c r="F18" s="6" t="n">
        <v>533094.548454125</v>
      </c>
      <c r="G18" s="6" t="n">
        <v>434682.090323198</v>
      </c>
      <c r="H18" s="6" t="n">
        <v>643937.369404727</v>
      </c>
      <c r="I18" s="6" t="n">
        <v>13030.9115337467</v>
      </c>
      <c r="J18" s="6" t="n">
        <v>6284.93136494699</v>
      </c>
      <c r="K18" s="6" t="n">
        <v>27822.7447333782</v>
      </c>
      <c r="L18" s="6" t="n">
        <v>15770.4730828463</v>
      </c>
      <c r="M18" s="6" t="n">
        <v>7819.61792194227</v>
      </c>
      <c r="N18" s="6" t="n">
        <v>33855.7982376456</v>
      </c>
      <c r="O18" s="6" t="n">
        <f aca="false">S18*O27</f>
        <v>449860757.497407</v>
      </c>
      <c r="P18" s="6" t="n">
        <f aca="false">S18*P27</f>
        <v>398038230.99717</v>
      </c>
      <c r="Q18" s="6" t="n">
        <f aca="false">S18*Q27</f>
        <v>507536654.54001</v>
      </c>
      <c r="R18" s="6" t="n">
        <f aca="false">O18/C18</f>
        <v>1021.15125413951</v>
      </c>
      <c r="S18" s="5" t="n">
        <f aca="false">C18/MAX(C27,C15+C16+C17+C18)</f>
        <v>0.0826434164983914</v>
      </c>
      <c r="T18" s="5" t="s">
        <v>95</v>
      </c>
      <c r="U18" s="5" t="s">
        <v>96</v>
      </c>
    </row>
    <row r="19" customFormat="false" ht="14.25" hidden="false" customHeight="true" outlineLevel="0" collapsed="false">
      <c r="A19" s="1" t="s">
        <v>143</v>
      </c>
      <c r="B19" s="1" t="s">
        <v>110</v>
      </c>
      <c r="C19" s="12" t="n">
        <v>1883658.40940246</v>
      </c>
      <c r="D19" s="12" t="n">
        <v>1484260.99223885</v>
      </c>
      <c r="E19" s="12" t="n">
        <v>2238985.23655428</v>
      </c>
      <c r="F19" s="12" t="n">
        <v>2338623.41913333</v>
      </c>
      <c r="G19" s="12" t="n">
        <v>1855353.95581535</v>
      </c>
      <c r="H19" s="12" t="n">
        <v>2789445.94969081</v>
      </c>
      <c r="I19" s="12" t="n">
        <v>141589.968502919</v>
      </c>
      <c r="J19" s="12" t="n">
        <v>95625.4272919685</v>
      </c>
      <c r="K19" s="12" t="n">
        <v>195085.51187146</v>
      </c>
      <c r="L19" s="12" t="n">
        <v>175500.636394671</v>
      </c>
      <c r="M19" s="12" t="n">
        <v>116169.248131486</v>
      </c>
      <c r="N19" s="12" t="n">
        <v>242102.289604252</v>
      </c>
      <c r="O19" s="12" t="n">
        <v>1919979390.85</v>
      </c>
      <c r="P19" s="12" t="n">
        <v>1726937608.74</v>
      </c>
      <c r="Q19" s="12" t="n">
        <v>2149338141.92</v>
      </c>
      <c r="R19" s="6" t="n">
        <f aca="false">O19/C19</f>
        <v>1019.28214864555</v>
      </c>
      <c r="T19" s="1" t="s">
        <v>95</v>
      </c>
      <c r="U19" s="1" t="s">
        <v>96</v>
      </c>
    </row>
    <row r="20" s="5" customFormat="true" ht="14.25" hidden="false" customHeight="true" outlineLevel="0" collapsed="false">
      <c r="A20" s="5" t="s">
        <v>143</v>
      </c>
      <c r="B20" s="5" t="s">
        <v>135</v>
      </c>
      <c r="C20" s="6" t="n">
        <v>182824.818139358</v>
      </c>
      <c r="D20" s="6" t="n">
        <v>159584.261040861</v>
      </c>
      <c r="E20" s="6" t="n">
        <v>208178.984097475</v>
      </c>
      <c r="F20" s="6" t="n">
        <v>227498.519061185</v>
      </c>
      <c r="G20" s="6" t="n">
        <v>196852.872037222</v>
      </c>
      <c r="H20" s="6" t="n">
        <v>262308.993493208</v>
      </c>
      <c r="I20" s="6" t="n">
        <v>24018.8363008664</v>
      </c>
      <c r="J20" s="6" t="n">
        <v>17277.1785495393</v>
      </c>
      <c r="K20" s="6" t="n">
        <v>31685.3887685648</v>
      </c>
      <c r="L20" s="6" t="n">
        <v>29859.634251907</v>
      </c>
      <c r="M20" s="6" t="n">
        <v>21477.3057831006</v>
      </c>
      <c r="N20" s="6" t="n">
        <v>39065.4647007418</v>
      </c>
      <c r="O20" s="6" t="n">
        <v>1282786456.97</v>
      </c>
      <c r="P20" s="6" t="n">
        <v>1120621133.23</v>
      </c>
      <c r="Q20" s="6" t="n">
        <v>1476486316.83</v>
      </c>
      <c r="R20" s="6" t="n">
        <f aca="false">O20/C20</f>
        <v>7016.47878020695</v>
      </c>
      <c r="T20" s="5" t="s">
        <v>95</v>
      </c>
      <c r="U20" s="5" t="s">
        <v>96</v>
      </c>
    </row>
    <row r="21" s="5" customFormat="true" ht="14.25" hidden="false" customHeight="true" outlineLevel="0" collapsed="false">
      <c r="A21" s="5" t="s">
        <v>143</v>
      </c>
      <c r="B21" s="5" t="s">
        <v>5</v>
      </c>
      <c r="C21" s="6" t="n">
        <v>245928.66</v>
      </c>
      <c r="D21" s="6" t="n">
        <v>190356.05</v>
      </c>
      <c r="E21" s="6" t="n">
        <v>309102.28</v>
      </c>
      <c r="F21" s="6" t="n">
        <v>231227.33</v>
      </c>
      <c r="G21" s="6" t="n">
        <v>180020.19</v>
      </c>
      <c r="H21" s="6" t="n">
        <v>298795.21</v>
      </c>
      <c r="I21" s="6" t="n">
        <v>7829.38</v>
      </c>
      <c r="J21" s="6" t="n">
        <v>4033.7</v>
      </c>
      <c r="K21" s="6" t="n">
        <v>12815.76</v>
      </c>
      <c r="L21" s="6" t="n">
        <v>7664.16</v>
      </c>
      <c r="M21" s="6" t="n">
        <v>3870.31</v>
      </c>
      <c r="N21" s="6" t="n">
        <v>12791.93</v>
      </c>
      <c r="O21" s="6" t="n">
        <f aca="false">S21*O26</f>
        <v>267329871.105195</v>
      </c>
      <c r="P21" s="6" t="n">
        <f aca="false">S21*P26</f>
        <v>243239192.771749</v>
      </c>
      <c r="Q21" s="6" t="n">
        <f aca="false">S21*Q26</f>
        <v>297508295.415438</v>
      </c>
      <c r="R21" s="6" t="n">
        <f aca="false">O21/C21</f>
        <v>1087.02202949911</v>
      </c>
      <c r="S21" s="6" t="n">
        <f aca="false">C21/C26</f>
        <v>0.277238851483354</v>
      </c>
      <c r="T21" s="5" t="s">
        <v>95</v>
      </c>
      <c r="U21" s="5" t="s">
        <v>96</v>
      </c>
    </row>
    <row r="22" s="5" customFormat="true" ht="14.25" hidden="false" customHeight="true" outlineLevel="0" collapsed="false">
      <c r="A22" s="5" t="s">
        <v>143</v>
      </c>
      <c r="B22" s="5" t="s">
        <v>114</v>
      </c>
      <c r="C22" s="6" t="n">
        <v>113833.8668476</v>
      </c>
      <c r="D22" s="6" t="n">
        <v>101321.276430606</v>
      </c>
      <c r="E22" s="6" t="n">
        <v>127476.159291312</v>
      </c>
      <c r="F22" s="6" t="n">
        <v>138480.570610531</v>
      </c>
      <c r="G22" s="6" t="n">
        <v>122370.451645829</v>
      </c>
      <c r="H22" s="6" t="n">
        <v>155453.814254282</v>
      </c>
      <c r="I22" s="6" t="n">
        <v>13322.5833765213</v>
      </c>
      <c r="J22" s="6" t="n">
        <v>9410.46837999966</v>
      </c>
      <c r="K22" s="6" t="n">
        <v>17601.7479430864</v>
      </c>
      <c r="L22" s="6" t="n">
        <v>16171.8316828436</v>
      </c>
      <c r="M22" s="6" t="n">
        <v>11523.582875415</v>
      </c>
      <c r="N22" s="6" t="n">
        <v>21279.0783211702</v>
      </c>
      <c r="O22" s="6" t="n">
        <v>1203341221.56</v>
      </c>
      <c r="P22" s="6" t="n">
        <v>1041365541.97</v>
      </c>
      <c r="Q22" s="6" t="n">
        <v>1368899097.89</v>
      </c>
      <c r="R22" s="6" t="n">
        <f aca="false">O22/C22</f>
        <v>10571.030000861</v>
      </c>
      <c r="T22" s="5" t="s">
        <v>95</v>
      </c>
      <c r="U22" s="5" t="s">
        <v>96</v>
      </c>
    </row>
    <row r="23" s="5" customFormat="true" ht="14.25" hidden="false" customHeight="true" outlineLevel="0" collapsed="false">
      <c r="A23" s="5" t="s">
        <v>143</v>
      </c>
      <c r="B23" s="5" t="s">
        <v>106</v>
      </c>
      <c r="C23" s="6" t="n">
        <v>12463.91</v>
      </c>
      <c r="D23" s="6" t="n">
        <v>9530.66</v>
      </c>
      <c r="E23" s="6" t="n">
        <v>15341.05</v>
      </c>
      <c r="F23" s="6" t="n">
        <v>14917.38</v>
      </c>
      <c r="G23" s="6" t="n">
        <v>11360.65</v>
      </c>
      <c r="H23" s="6" t="n">
        <v>17860.13</v>
      </c>
      <c r="I23" s="6" t="n">
        <v>1225.51</v>
      </c>
      <c r="J23" s="6" t="n">
        <v>811.94</v>
      </c>
      <c r="K23" s="6" t="n">
        <v>1734.61</v>
      </c>
      <c r="L23" s="6" t="n">
        <v>1462.32</v>
      </c>
      <c r="M23" s="6" t="n">
        <v>979.17</v>
      </c>
      <c r="N23" s="6" t="n">
        <v>2034.8</v>
      </c>
      <c r="O23" s="6" t="n">
        <v>94664003.58</v>
      </c>
      <c r="P23" s="6" t="n">
        <v>79336900.89</v>
      </c>
      <c r="Q23" s="6" t="n">
        <v>114789639.41</v>
      </c>
      <c r="R23" s="6" t="n">
        <f aca="false">O23/C23</f>
        <v>7595.04871103851</v>
      </c>
      <c r="T23" s="5" t="s">
        <v>95</v>
      </c>
      <c r="U23" s="5" t="s">
        <v>96</v>
      </c>
    </row>
    <row r="24" s="5" customFormat="true" ht="14.25" hidden="false" customHeight="true" outlineLevel="0" collapsed="false">
      <c r="A24" s="5" t="s">
        <v>143</v>
      </c>
      <c r="B24" s="5" t="s">
        <v>41</v>
      </c>
      <c r="C24" s="6" t="n">
        <v>733769.930025782</v>
      </c>
      <c r="D24" s="6" t="n">
        <v>667014.408511945</v>
      </c>
      <c r="E24" s="6" t="n">
        <v>796952.228771358</v>
      </c>
      <c r="F24" s="6" t="n">
        <v>893670.43429375</v>
      </c>
      <c r="G24" s="6" t="n">
        <v>795180.370705751</v>
      </c>
      <c r="H24" s="6" t="n">
        <v>979417.268725572</v>
      </c>
      <c r="I24" s="6" t="n">
        <v>106713.74922285</v>
      </c>
      <c r="J24" s="6" t="n">
        <v>78795.1265569126</v>
      </c>
      <c r="K24" s="6" t="n">
        <v>137511.68692551</v>
      </c>
      <c r="L24" s="6" t="n">
        <v>129425.93126586</v>
      </c>
      <c r="M24" s="6" t="n">
        <v>95759.3458892163</v>
      </c>
      <c r="N24" s="6" t="n">
        <v>167494.980692169</v>
      </c>
      <c r="O24" s="6" t="n">
        <v>5544316731.33</v>
      </c>
      <c r="P24" s="6" t="n">
        <v>5023629388.17</v>
      </c>
      <c r="Q24" s="6" t="n">
        <v>6173496116.26</v>
      </c>
      <c r="R24" s="6" t="n">
        <f aca="false">O24/C24</f>
        <v>7555.93341244604</v>
      </c>
      <c r="T24" s="5" t="s">
        <v>95</v>
      </c>
      <c r="U24" s="5" t="s">
        <v>96</v>
      </c>
    </row>
    <row r="26" s="5" customFormat="true" ht="14.25" hidden="false" customHeight="true" outlineLevel="0" collapsed="false">
      <c r="B26" s="5" t="s">
        <v>108</v>
      </c>
      <c r="C26" s="6" t="n">
        <v>887064.2</v>
      </c>
      <c r="D26" s="6" t="n">
        <v>581303.72</v>
      </c>
      <c r="E26" s="6" t="n">
        <v>1280434</v>
      </c>
      <c r="F26" s="6" t="n">
        <v>969242.5</v>
      </c>
      <c r="G26" s="6" t="n">
        <v>569473.75</v>
      </c>
      <c r="H26" s="6" t="n">
        <v>1528786.16</v>
      </c>
      <c r="I26" s="6" t="n">
        <v>18283.9</v>
      </c>
      <c r="J26" s="6" t="n">
        <v>9783.07</v>
      </c>
      <c r="K26" s="6" t="n">
        <v>29292.58</v>
      </c>
      <c r="L26" s="6" t="n">
        <v>19276.07</v>
      </c>
      <c r="M26" s="6" t="n">
        <v>9046.47</v>
      </c>
      <c r="N26" s="6" t="n">
        <v>36148.99</v>
      </c>
      <c r="O26" s="6" t="n">
        <v>964258326.98</v>
      </c>
      <c r="P26" s="6" t="n">
        <v>877363296.92</v>
      </c>
      <c r="Q26" s="6" t="n">
        <v>1073111844.98</v>
      </c>
      <c r="R26" s="6" t="n">
        <f aca="false">O26/C26</f>
        <v>1087.02202949911</v>
      </c>
    </row>
    <row r="27" s="5" customFormat="true" ht="14.25" hidden="false" customHeight="true" outlineLevel="0" collapsed="false">
      <c r="B27" s="5" t="s">
        <v>131</v>
      </c>
      <c r="C27" s="6" t="n">
        <v>4407946.49818322</v>
      </c>
      <c r="D27" s="6" t="n">
        <v>3960547.58817709</v>
      </c>
      <c r="E27" s="6" t="n">
        <v>4872107.0117616</v>
      </c>
      <c r="F27" s="6" t="n">
        <v>5277689.48213356</v>
      </c>
      <c r="G27" s="6" t="n">
        <v>4756212.32619347</v>
      </c>
      <c r="H27" s="6" t="n">
        <v>5829821.16985216</v>
      </c>
      <c r="I27" s="6" t="n">
        <v>158255.29250744</v>
      </c>
      <c r="J27" s="6" t="n">
        <v>76025.9387506193</v>
      </c>
      <c r="K27" s="6" t="n">
        <v>329927.231131509</v>
      </c>
      <c r="L27" s="6" t="n">
        <v>188581.578942739</v>
      </c>
      <c r="M27" s="6" t="n">
        <v>90944.146627976</v>
      </c>
      <c r="N27" s="6" t="n">
        <v>393887.845415465</v>
      </c>
      <c r="O27" s="6" t="n">
        <v>5443394967.9</v>
      </c>
      <c r="P27" s="6" t="n">
        <v>4816333204.29</v>
      </c>
      <c r="Q27" s="6" t="n">
        <v>6141283553.42</v>
      </c>
      <c r="R27" s="6" t="n">
        <f aca="false">O27/C27</f>
        <v>1234.90495407409</v>
      </c>
      <c r="T27" s="5" t="s">
        <v>95</v>
      </c>
      <c r="U27" s="5" t="s">
        <v>96</v>
      </c>
    </row>
    <row r="28" s="5" customFormat="true" ht="14.25" hidden="false" customHeight="true" outlineLevel="0" collapsed="false">
      <c r="B28" s="5" t="s">
        <v>109</v>
      </c>
      <c r="C28" s="6" t="n">
        <v>9202607.4813109</v>
      </c>
      <c r="D28" s="6" t="n">
        <v>9043853.358705</v>
      </c>
      <c r="E28" s="6" t="n">
        <v>9319100.49919801</v>
      </c>
      <c r="F28" s="6" t="n">
        <v>11042500.4549153</v>
      </c>
      <c r="G28" s="6" t="n">
        <v>10784567.4072109</v>
      </c>
      <c r="H28" s="6" t="n">
        <v>11243888.6580571</v>
      </c>
      <c r="I28" s="6" t="n">
        <v>628646.245238368</v>
      </c>
      <c r="J28" s="6" t="n">
        <v>450863.388708008</v>
      </c>
      <c r="K28" s="6" t="n">
        <v>835879.756890896</v>
      </c>
      <c r="L28" s="6" t="n">
        <v>729906.420109734</v>
      </c>
      <c r="M28" s="6" t="n">
        <v>523360.946035066</v>
      </c>
      <c r="N28" s="6" t="n">
        <v>972625.266920297</v>
      </c>
      <c r="O28" s="6" t="n">
        <f aca="false">O8+O6</f>
        <v>5288952444.76</v>
      </c>
      <c r="P28" s="6" t="n">
        <f aca="false">P8+P6</f>
        <v>4813126285.86</v>
      </c>
      <c r="Q28" s="6" t="n">
        <f aca="false">Q8+Q6</f>
        <v>5842312600.21</v>
      </c>
      <c r="R28" s="6" t="n">
        <f aca="false">O28/C28</f>
        <v>574.723246156164</v>
      </c>
    </row>
    <row r="30" customFormat="false" ht="14.25" hidden="false" customHeight="true" outlineLevel="0" collapsed="false">
      <c r="O30" s="1" t="s">
        <v>125</v>
      </c>
      <c r="P30" s="1" t="n">
        <f aca="false">O6/O28</f>
        <v>0.908454104706557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.22"/>
    <col collapsed="false" customWidth="true" hidden="false" outlineLevel="0" max="2" min="2" style="1" width="24"/>
    <col collapsed="false" customWidth="true" hidden="false" outlineLevel="0" max="3" min="3" style="1" width="18.34"/>
    <col collapsed="false" customWidth="true" hidden="false" outlineLevel="0" max="8" min="4" style="1" width="10.56"/>
    <col collapsed="false" customWidth="true" hidden="false" outlineLevel="0" max="14" min="9" style="1" width="9.56"/>
    <col collapsed="false" customWidth="true" hidden="false" outlineLevel="0" max="15" min="15" style="1" width="16.77"/>
    <col collapsed="false" customWidth="true" hidden="false" outlineLevel="0" max="16" min="16" style="1" width="14.79"/>
    <col collapsed="false" customWidth="true" hidden="false" outlineLevel="0" max="17" min="17" style="1" width="18.11"/>
    <col collapsed="false" customWidth="true" hidden="false" outlineLevel="0" max="18" min="18" style="1" width="17.76"/>
    <col collapsed="false" customWidth="true" hidden="false" outlineLevel="0" max="19" min="19" style="1" width="9"/>
  </cols>
  <sheetData>
    <row r="1" customFormat="false" ht="14.25" hidden="false" customHeight="true" outlineLevel="0" collapsed="false">
      <c r="A1" s="16" t="s">
        <v>72</v>
      </c>
      <c r="B1" s="16" t="s">
        <v>73</v>
      </c>
      <c r="C1" s="16" t="s">
        <v>74</v>
      </c>
      <c r="D1" s="16" t="s">
        <v>75</v>
      </c>
      <c r="E1" s="16" t="s">
        <v>76</v>
      </c>
      <c r="F1" s="16" t="s">
        <v>77</v>
      </c>
      <c r="G1" s="16" t="s">
        <v>78</v>
      </c>
      <c r="H1" s="16" t="s">
        <v>79</v>
      </c>
      <c r="I1" s="16" t="s">
        <v>80</v>
      </c>
      <c r="J1" s="16" t="s">
        <v>81</v>
      </c>
      <c r="K1" s="16" t="s">
        <v>82</v>
      </c>
      <c r="L1" s="16" t="s">
        <v>83</v>
      </c>
      <c r="M1" s="16" t="s">
        <v>84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6" t="s">
        <v>90</v>
      </c>
      <c r="T1" s="16" t="s">
        <v>91</v>
      </c>
      <c r="U1" s="16" t="s">
        <v>92</v>
      </c>
    </row>
    <row r="2" s="5" customFormat="true" ht="14.25" hidden="false" customHeight="true" outlineLevel="0" collapsed="false">
      <c r="A2" s="6" t="s">
        <v>144</v>
      </c>
      <c r="B2" s="6" t="s">
        <v>19</v>
      </c>
      <c r="C2" s="6" t="n">
        <v>829976.310958069</v>
      </c>
      <c r="D2" s="6" t="n">
        <v>629461.212748439</v>
      </c>
      <c r="E2" s="6" t="n">
        <v>1054766.27360621</v>
      </c>
      <c r="F2" s="6" t="n">
        <v>955355.088972202</v>
      </c>
      <c r="G2" s="6" t="n">
        <v>726601.451909717</v>
      </c>
      <c r="H2" s="6" t="n">
        <v>1222267.11189144</v>
      </c>
      <c r="I2" s="6" t="n">
        <v>159323.346795634</v>
      </c>
      <c r="J2" s="6" t="n">
        <v>108079.145140499</v>
      </c>
      <c r="K2" s="6" t="n">
        <v>220153.217408359</v>
      </c>
      <c r="L2" s="6" t="n">
        <v>183045.052850927</v>
      </c>
      <c r="M2" s="6" t="n">
        <v>124475.095923424</v>
      </c>
      <c r="N2" s="6" t="n">
        <v>254772.71820162</v>
      </c>
      <c r="O2" s="6" t="n">
        <v>9544925122.63</v>
      </c>
      <c r="P2" s="6" t="n">
        <v>8710999929.23</v>
      </c>
      <c r="Q2" s="6" t="n">
        <v>10600049254.5</v>
      </c>
      <c r="R2" s="6" t="n">
        <f aca="false">O2/C2</f>
        <v>11500.2380147597</v>
      </c>
      <c r="S2" s="6"/>
      <c r="T2" s="6" t="s">
        <v>95</v>
      </c>
      <c r="U2" s="6" t="s">
        <v>96</v>
      </c>
    </row>
    <row r="3" s="5" customFormat="true" ht="14.25" hidden="false" customHeight="true" outlineLevel="0" collapsed="false">
      <c r="A3" s="6" t="s">
        <v>144</v>
      </c>
      <c r="B3" s="6" t="s">
        <v>94</v>
      </c>
      <c r="C3" s="6" t="n">
        <v>2333.13219351593</v>
      </c>
      <c r="D3" s="6" t="n">
        <v>1408.49314424269</v>
      </c>
      <c r="E3" s="6" t="n">
        <v>3869.72585211882</v>
      </c>
      <c r="F3" s="6" t="n">
        <v>2723.11591782961</v>
      </c>
      <c r="G3" s="6" t="n">
        <v>1576.9183302179</v>
      </c>
      <c r="H3" s="6" t="n">
        <v>4908.2839559508</v>
      </c>
      <c r="I3" s="6" t="n">
        <v>444.71563976225</v>
      </c>
      <c r="J3" s="6" t="n">
        <v>276.554858795169</v>
      </c>
      <c r="K3" s="6" t="n">
        <v>658.900604056143</v>
      </c>
      <c r="L3" s="6" t="n">
        <v>507.526293219318</v>
      </c>
      <c r="M3" s="6" t="n">
        <v>293.079248820916</v>
      </c>
      <c r="N3" s="6" t="n">
        <v>760.145223475742</v>
      </c>
      <c r="O3" s="6" t="n">
        <v>155282034.37</v>
      </c>
      <c r="P3" s="6" t="n">
        <v>136614255.46</v>
      </c>
      <c r="Q3" s="6" t="n">
        <v>176041598.47</v>
      </c>
      <c r="R3" s="6" t="n">
        <f aca="false">O3/C3</f>
        <v>66555.1805429407</v>
      </c>
      <c r="S3" s="6"/>
      <c r="T3" s="6" t="s">
        <v>95</v>
      </c>
      <c r="U3" s="6" t="s">
        <v>96</v>
      </c>
    </row>
    <row r="4" s="5" customFormat="true" ht="14.25" hidden="false" customHeight="true" outlineLevel="0" collapsed="false">
      <c r="A4" s="6" t="s">
        <v>144</v>
      </c>
      <c r="B4" s="6" t="s">
        <v>119</v>
      </c>
      <c r="C4" s="6" t="n">
        <v>16747.3100340329</v>
      </c>
      <c r="D4" s="6" t="n">
        <v>11254.8732011488</v>
      </c>
      <c r="E4" s="6" t="n">
        <v>21776.7728120923</v>
      </c>
      <c r="F4" s="6" t="n">
        <v>19975.7502525377</v>
      </c>
      <c r="G4" s="6" t="n">
        <v>13508.5014643576</v>
      </c>
      <c r="H4" s="6" t="n">
        <v>26143.2329656864</v>
      </c>
      <c r="I4" s="6" t="n">
        <v>1407.89929390503</v>
      </c>
      <c r="J4" s="6" t="n">
        <v>787.304012295113</v>
      </c>
      <c r="K4" s="6" t="n">
        <v>2088.43073285086</v>
      </c>
      <c r="L4" s="6" t="n">
        <v>1672.96684840408</v>
      </c>
      <c r="M4" s="6" t="n">
        <v>928.537397314351</v>
      </c>
      <c r="N4" s="6" t="n">
        <v>2492.3587970381</v>
      </c>
      <c r="O4" s="6" t="n">
        <v>238116604.44</v>
      </c>
      <c r="P4" s="6" t="n">
        <v>203446695.15</v>
      </c>
      <c r="Q4" s="6" t="n">
        <v>276028572.61</v>
      </c>
      <c r="R4" s="6" t="n">
        <f aca="false">O4/C4</f>
        <v>14218.2000545827</v>
      </c>
      <c r="S4" s="6"/>
      <c r="T4" s="6" t="s">
        <v>95</v>
      </c>
      <c r="U4" s="6" t="s">
        <v>96</v>
      </c>
    </row>
    <row r="5" s="5" customFormat="true" ht="14.25" hidden="false" customHeight="true" outlineLevel="0" collapsed="false">
      <c r="A5" s="6" t="s">
        <v>144</v>
      </c>
      <c r="B5" s="6" t="s">
        <v>122</v>
      </c>
      <c r="C5" s="6" t="n">
        <v>1904718.12767485</v>
      </c>
      <c r="D5" s="6" t="n">
        <v>1766463.34836424</v>
      </c>
      <c r="E5" s="6" t="n">
        <v>2049634.2298709</v>
      </c>
      <c r="F5" s="6" t="n">
        <v>2377872.42362818</v>
      </c>
      <c r="G5" s="6" t="n">
        <v>2191857.71209308</v>
      </c>
      <c r="H5" s="6" t="n">
        <v>2573837.66879124</v>
      </c>
      <c r="I5" s="6" t="n">
        <v>156822.466348362</v>
      </c>
      <c r="J5" s="6" t="n">
        <v>115785.46451572</v>
      </c>
      <c r="K5" s="6" t="n">
        <v>207001.881669193</v>
      </c>
      <c r="L5" s="6" t="n">
        <v>195832.765038729</v>
      </c>
      <c r="M5" s="6" t="n">
        <v>144661.631012762</v>
      </c>
      <c r="N5" s="6" t="n">
        <v>255775.143133677</v>
      </c>
      <c r="O5" s="6" t="n">
        <v>31854413405.28</v>
      </c>
      <c r="P5" s="6" t="n">
        <v>28442124007.5</v>
      </c>
      <c r="Q5" s="6" t="n">
        <v>35585193366.03</v>
      </c>
      <c r="R5" s="6" t="n">
        <f aca="false">O5/C5</f>
        <v>16723.9514038572</v>
      </c>
      <c r="S5" s="6"/>
      <c r="T5" s="6" t="s">
        <v>95</v>
      </c>
      <c r="U5" s="6" t="s">
        <v>96</v>
      </c>
    </row>
    <row r="6" s="5" customFormat="true" ht="14.25" hidden="false" customHeight="true" outlineLevel="0" collapsed="false">
      <c r="A6" s="6" t="s">
        <v>144</v>
      </c>
      <c r="B6" s="6" t="s">
        <v>26</v>
      </c>
      <c r="C6" s="6" t="n">
        <v>8123491.44258469</v>
      </c>
      <c r="D6" s="6" t="n">
        <v>7242933.34408627</v>
      </c>
      <c r="E6" s="6" t="n">
        <v>8999152.59320006</v>
      </c>
      <c r="F6" s="6" t="n">
        <v>9003018.83959588</v>
      </c>
      <c r="G6" s="6" t="n">
        <v>7993511.38245088</v>
      </c>
      <c r="H6" s="6" t="n">
        <v>10011750.5236691</v>
      </c>
      <c r="I6" s="6" t="n">
        <v>351935.906727846</v>
      </c>
      <c r="J6" s="6" t="n">
        <v>251874.794398964</v>
      </c>
      <c r="K6" s="6" t="n">
        <v>478314.918699618</v>
      </c>
      <c r="L6" s="6" t="n">
        <v>388586.022116176</v>
      </c>
      <c r="M6" s="6" t="n">
        <v>277038.862374771</v>
      </c>
      <c r="N6" s="6" t="n">
        <v>530312.520656366</v>
      </c>
      <c r="O6" s="6" t="n">
        <v>5313197205.88</v>
      </c>
      <c r="P6" s="6" t="n">
        <v>4871011984.9</v>
      </c>
      <c r="Q6" s="6" t="n">
        <v>5892582042.62</v>
      </c>
      <c r="R6" s="6" t="n">
        <f aca="false">O6/C6</f>
        <v>654.053400983146</v>
      </c>
      <c r="S6" s="6"/>
      <c r="T6" s="6" t="s">
        <v>95</v>
      </c>
      <c r="U6" s="6" t="s">
        <v>96</v>
      </c>
    </row>
    <row r="7" s="5" customFormat="true" ht="14.25" hidden="false" customHeight="true" outlineLevel="0" collapsed="false">
      <c r="A7" s="6" t="s">
        <v>144</v>
      </c>
      <c r="B7" s="6" t="s">
        <v>9</v>
      </c>
      <c r="C7" s="6" t="n">
        <v>548907.697182415</v>
      </c>
      <c r="D7" s="6" t="n">
        <v>415745.339475284</v>
      </c>
      <c r="E7" s="6" t="n">
        <v>704971.880075682</v>
      </c>
      <c r="F7" s="6" t="n">
        <v>532287.537260215</v>
      </c>
      <c r="G7" s="6" t="n">
        <v>344436.805300464</v>
      </c>
      <c r="H7" s="6" t="n">
        <v>742970.97011527</v>
      </c>
      <c r="I7" s="6" t="n">
        <v>14647.6510010751</v>
      </c>
      <c r="J7" s="6" t="n">
        <v>9676.40989921516</v>
      </c>
      <c r="K7" s="6" t="n">
        <v>20695.4520110517</v>
      </c>
      <c r="L7" s="6" t="n">
        <v>14206.4790062896</v>
      </c>
      <c r="M7" s="6" t="n">
        <v>8540.55124588052</v>
      </c>
      <c r="N7" s="6" t="n">
        <v>21416.1777975607</v>
      </c>
      <c r="O7" s="6" t="n">
        <v>168301223.62</v>
      </c>
      <c r="P7" s="6" t="n">
        <v>143385592.56</v>
      </c>
      <c r="Q7" s="6" t="n">
        <v>195618841.58</v>
      </c>
      <c r="R7" s="6" t="n">
        <f aca="false">O7/C7</f>
        <v>306.611156090365</v>
      </c>
      <c r="S7" s="6"/>
      <c r="T7" s="6" t="s">
        <v>95</v>
      </c>
      <c r="U7" s="6" t="s">
        <v>96</v>
      </c>
    </row>
    <row r="8" s="5" customFormat="true" ht="14.25" hidden="false" customHeight="true" outlineLevel="0" collapsed="false">
      <c r="A8" s="6" t="s">
        <v>144</v>
      </c>
      <c r="B8" s="6" t="s">
        <v>22</v>
      </c>
      <c r="C8" s="6" t="n">
        <v>2840672.80487848</v>
      </c>
      <c r="D8" s="7" t="n">
        <v>2453854.01281589</v>
      </c>
      <c r="E8" s="7" t="n">
        <v>3227491.59694108</v>
      </c>
      <c r="F8" s="6" t="n">
        <v>3323440.81949697</v>
      </c>
      <c r="G8" s="7" t="n">
        <v>2868907.32040811</v>
      </c>
      <c r="H8" s="7" t="n">
        <v>3777974.31858583</v>
      </c>
      <c r="I8" s="6" t="n">
        <f aca="false">I27-I6</f>
        <v>96167.192903363</v>
      </c>
      <c r="J8" s="6" t="n">
        <f aca="false">J27-J6</f>
        <v>73410.806968477</v>
      </c>
      <c r="K8" s="6" t="n">
        <f aca="false">K27-K6</f>
        <v>125375.537270852</v>
      </c>
      <c r="L8" s="6" t="n">
        <f aca="false">L27-L6</f>
        <v>110272.856378479</v>
      </c>
      <c r="M8" s="6" t="n">
        <f aca="false">M27-M6</f>
        <v>85119.040339659</v>
      </c>
      <c r="N8" s="6" t="n">
        <f aca="false">N27-N6</f>
        <v>138172.951959683</v>
      </c>
      <c r="O8" s="6" t="n">
        <v>320324309.3</v>
      </c>
      <c r="P8" s="6" t="n">
        <v>288784904.93</v>
      </c>
      <c r="Q8" s="6" t="n">
        <v>360553281.3</v>
      </c>
      <c r="R8" s="6"/>
      <c r="S8" s="6"/>
      <c r="T8" s="6"/>
      <c r="U8" s="6"/>
    </row>
    <row r="9" s="5" customFormat="true" ht="14.25" hidden="false" customHeight="true" outlineLevel="0" collapsed="false">
      <c r="A9" s="6" t="s">
        <v>144</v>
      </c>
      <c r="B9" s="6" t="s">
        <v>120</v>
      </c>
      <c r="C9" s="6" t="n">
        <v>1602657.06468799</v>
      </c>
      <c r="D9" s="6" t="n">
        <v>1321218.07063409</v>
      </c>
      <c r="E9" s="6" t="n">
        <v>1898507.89006924</v>
      </c>
      <c r="F9" s="6" t="n">
        <v>1829771.41966836</v>
      </c>
      <c r="G9" s="6" t="n">
        <v>1504432.30361985</v>
      </c>
      <c r="H9" s="6" t="n">
        <v>2175486.10845539</v>
      </c>
      <c r="I9" s="6" t="n">
        <v>153421.249315511</v>
      </c>
      <c r="J9" s="6" t="n">
        <v>107372.155253852</v>
      </c>
      <c r="K9" s="6" t="n">
        <v>210189.108418598</v>
      </c>
      <c r="L9" s="6" t="n">
        <v>174909.617350945</v>
      </c>
      <c r="M9" s="6" t="n">
        <v>123002.432325233</v>
      </c>
      <c r="N9" s="6" t="n">
        <v>241169.397154438</v>
      </c>
      <c r="O9" s="6" t="n">
        <v>2740023329.14</v>
      </c>
      <c r="P9" s="6" t="n">
        <v>2508845509.47</v>
      </c>
      <c r="Q9" s="6" t="n">
        <v>3017865920.54</v>
      </c>
      <c r="R9" s="6" t="n">
        <f aca="false">O9/C9</f>
        <v>1709.67538190925</v>
      </c>
      <c r="S9" s="6"/>
      <c r="T9" s="6" t="s">
        <v>95</v>
      </c>
      <c r="U9" s="6" t="s">
        <v>96</v>
      </c>
    </row>
    <row r="10" s="5" customFormat="true" ht="14.25" hidden="false" customHeight="true" outlineLevel="0" collapsed="false">
      <c r="A10" s="6" t="s">
        <v>144</v>
      </c>
      <c r="B10" s="6" t="s">
        <v>134</v>
      </c>
      <c r="C10" s="6" t="n">
        <v>1449887.66053873</v>
      </c>
      <c r="D10" s="6" t="n">
        <v>1183661.95181556</v>
      </c>
      <c r="E10" s="6" t="n">
        <v>1732413.75213741</v>
      </c>
      <c r="F10" s="6" t="n">
        <v>1660925.62521899</v>
      </c>
      <c r="G10" s="6" t="n">
        <v>1212401.65016434</v>
      </c>
      <c r="H10" s="6" t="n">
        <v>2170504.46499018</v>
      </c>
      <c r="I10" s="6" t="n">
        <v>5961.50868248711</v>
      </c>
      <c r="J10" s="6" t="n">
        <v>2542.89779054444</v>
      </c>
      <c r="K10" s="6" t="n">
        <v>12203.4184075356</v>
      </c>
      <c r="L10" s="6" t="n">
        <v>6791.94783948033</v>
      </c>
      <c r="M10" s="6" t="n">
        <v>2831.63135011202</v>
      </c>
      <c r="N10" s="6" t="n">
        <v>12861.4344313224</v>
      </c>
      <c r="O10" s="6" t="n">
        <v>992729183.08</v>
      </c>
      <c r="P10" s="6" t="n">
        <v>839549253.51</v>
      </c>
      <c r="Q10" s="6" t="n">
        <v>1167897518.98</v>
      </c>
      <c r="R10" s="6" t="n">
        <f aca="false">O10/C10</f>
        <v>684.693862910134</v>
      </c>
      <c r="S10" s="6"/>
      <c r="T10" s="6" t="s">
        <v>95</v>
      </c>
      <c r="U10" s="6" t="s">
        <v>96</v>
      </c>
    </row>
    <row r="11" s="5" customFormat="true" ht="14.25" hidden="false" customHeight="true" outlineLevel="0" collapsed="false">
      <c r="A11" s="6" t="s">
        <v>144</v>
      </c>
      <c r="B11" s="6" t="s">
        <v>98</v>
      </c>
      <c r="C11" s="6" t="n">
        <v>1088.48078454981</v>
      </c>
      <c r="D11" s="6" t="n">
        <v>835.380234414229</v>
      </c>
      <c r="E11" s="6" t="n">
        <v>1409.94367112764</v>
      </c>
      <c r="F11" s="6" t="n">
        <v>1248.02581653331</v>
      </c>
      <c r="G11" s="6" t="n">
        <v>957.482857022606</v>
      </c>
      <c r="H11" s="6" t="n">
        <v>1609.01773004754</v>
      </c>
      <c r="I11" s="6" t="n">
        <v>166.58389015643</v>
      </c>
      <c r="J11" s="6" t="n">
        <v>110.158232033728</v>
      </c>
      <c r="K11" s="6" t="n">
        <v>250.029252857418</v>
      </c>
      <c r="L11" s="6" t="n">
        <v>191.908049878549</v>
      </c>
      <c r="M11" s="6" t="n">
        <v>128.167319111026</v>
      </c>
      <c r="N11" s="6" t="n">
        <v>292.196657740535</v>
      </c>
      <c r="O11" s="6" t="n">
        <v>302944744.38</v>
      </c>
      <c r="P11" s="6" t="n">
        <v>248548371.59</v>
      </c>
      <c r="Q11" s="6" t="n">
        <v>354867314.97</v>
      </c>
      <c r="R11" s="6" t="n">
        <f aca="false">O11/C11</f>
        <v>278318.872211691</v>
      </c>
      <c r="S11" s="6"/>
      <c r="T11" s="6" t="s">
        <v>95</v>
      </c>
      <c r="U11" s="6" t="s">
        <v>96</v>
      </c>
    </row>
    <row r="12" s="5" customFormat="true" ht="14.25" hidden="false" customHeight="true" outlineLevel="0" collapsed="false">
      <c r="A12" s="6" t="s">
        <v>144</v>
      </c>
      <c r="B12" s="6" t="s">
        <v>44</v>
      </c>
      <c r="C12" s="6" t="n">
        <v>2141.72824811779</v>
      </c>
      <c r="D12" s="6" t="n">
        <v>1734.05577959594</v>
      </c>
      <c r="E12" s="6" t="n">
        <v>2591.27472912825</v>
      </c>
      <c r="F12" s="6" t="n">
        <v>2549.10438230649</v>
      </c>
      <c r="G12" s="6" t="n">
        <v>2000.22046241757</v>
      </c>
      <c r="H12" s="6" t="n">
        <v>3183.96959263519</v>
      </c>
      <c r="I12" s="6" t="n">
        <v>454.736337464171</v>
      </c>
      <c r="J12" s="6" t="n">
        <v>311.466010945627</v>
      </c>
      <c r="K12" s="6" t="n">
        <v>625.805481945044</v>
      </c>
      <c r="L12" s="6" t="n">
        <v>540.69093604843</v>
      </c>
      <c r="M12" s="6" t="n">
        <v>362.967359071912</v>
      </c>
      <c r="N12" s="6" t="n">
        <v>757.315193468648</v>
      </c>
      <c r="O12" s="6" t="n">
        <v>81428123.73</v>
      </c>
      <c r="P12" s="6" t="n">
        <v>64363302.42</v>
      </c>
      <c r="Q12" s="6" t="n">
        <v>101901997.92</v>
      </c>
      <c r="R12" s="6" t="n">
        <f aca="false">O12/C12</f>
        <v>38019.8205825418</v>
      </c>
      <c r="S12" s="6"/>
      <c r="T12" s="6" t="s">
        <v>95</v>
      </c>
      <c r="U12" s="6" t="s">
        <v>96</v>
      </c>
    </row>
    <row r="13" s="5" customFormat="true" ht="14.25" hidden="false" customHeight="true" outlineLevel="0" collapsed="false">
      <c r="A13" s="6" t="s">
        <v>144</v>
      </c>
      <c r="B13" s="6" t="s">
        <v>12</v>
      </c>
      <c r="C13" s="6" t="n">
        <v>8206.11246297872</v>
      </c>
      <c r="D13" s="6" t="n">
        <v>7498.9836241148</v>
      </c>
      <c r="E13" s="6" t="n">
        <v>8976.88528416937</v>
      </c>
      <c r="F13" s="6" t="n">
        <v>9627.46311769296</v>
      </c>
      <c r="G13" s="6" t="n">
        <v>8758.25307903408</v>
      </c>
      <c r="H13" s="6" t="n">
        <v>10553.195340067</v>
      </c>
      <c r="I13" s="6" t="n">
        <v>1763.40461868652</v>
      </c>
      <c r="J13" s="6" t="n">
        <v>1299.26830720605</v>
      </c>
      <c r="K13" s="6" t="n">
        <v>2181.44846751841</v>
      </c>
      <c r="L13" s="6" t="n">
        <v>2053.54690225111</v>
      </c>
      <c r="M13" s="6" t="n">
        <v>1481.82257246056</v>
      </c>
      <c r="N13" s="6" t="n">
        <v>2600.08264677944</v>
      </c>
      <c r="O13" s="6" t="n">
        <v>116706178.32</v>
      </c>
      <c r="P13" s="6" t="n">
        <v>97203532.71</v>
      </c>
      <c r="Q13" s="6" t="n">
        <v>137350773.21</v>
      </c>
      <c r="R13" s="6" t="n">
        <f aca="false">O13/C13</f>
        <v>14221.8594793225</v>
      </c>
      <c r="S13" s="6"/>
      <c r="T13" s="6" t="s">
        <v>95</v>
      </c>
      <c r="U13" s="6" t="s">
        <v>96</v>
      </c>
    </row>
    <row r="14" s="5" customFormat="true" ht="14.25" hidden="false" customHeight="true" outlineLevel="0" collapsed="false">
      <c r="A14" s="6" t="s">
        <v>144</v>
      </c>
      <c r="B14" s="6" t="s">
        <v>113</v>
      </c>
      <c r="C14" s="6" t="n">
        <v>216874.274714288</v>
      </c>
      <c r="D14" s="6" t="n">
        <v>131173.416155595</v>
      </c>
      <c r="E14" s="6" t="n">
        <v>352281.020128638</v>
      </c>
      <c r="F14" s="6" t="n">
        <v>245233.757718772</v>
      </c>
      <c r="G14" s="6" t="n">
        <v>151963.822755044</v>
      </c>
      <c r="H14" s="6" t="n">
        <v>390477.257891073</v>
      </c>
      <c r="I14" s="6" t="n">
        <v>18567.0446884297</v>
      </c>
      <c r="J14" s="6" t="n">
        <v>9589.61506103695</v>
      </c>
      <c r="K14" s="6" t="n">
        <v>34023.1744854995</v>
      </c>
      <c r="L14" s="6" t="n">
        <v>20980.0269468706</v>
      </c>
      <c r="M14" s="6" t="n">
        <v>10706.8062833654</v>
      </c>
      <c r="N14" s="6" t="n">
        <v>36350.4663712664</v>
      </c>
      <c r="O14" s="6" t="n">
        <v>516718225</v>
      </c>
      <c r="P14" s="6" t="n">
        <v>461055580.82</v>
      </c>
      <c r="Q14" s="6" t="n">
        <v>585053804.06</v>
      </c>
      <c r="R14" s="6" t="n">
        <f aca="false">O14/C14</f>
        <v>2382.57038867671</v>
      </c>
      <c r="S14" s="6"/>
      <c r="T14" s="6" t="s">
        <v>95</v>
      </c>
      <c r="U14" s="6" t="s">
        <v>96</v>
      </c>
    </row>
    <row r="15" s="5" customFormat="true" ht="14.25" hidden="false" customHeight="true" outlineLevel="0" collapsed="false">
      <c r="A15" s="6" t="s">
        <v>144</v>
      </c>
      <c r="B15" s="6" t="s">
        <v>64</v>
      </c>
      <c r="C15" s="6" t="n">
        <v>1237535.42240887</v>
      </c>
      <c r="D15" s="6" t="n">
        <v>933225.795232443</v>
      </c>
      <c r="E15" s="6" t="n">
        <v>1571259.00136969</v>
      </c>
      <c r="F15" s="6" t="n">
        <v>1338389.86970113</v>
      </c>
      <c r="G15" s="6" t="n">
        <v>1012687.61113314</v>
      </c>
      <c r="H15" s="6" t="n">
        <v>1703225.8603077</v>
      </c>
      <c r="I15" s="6" t="n">
        <v>35914.6733842645</v>
      </c>
      <c r="J15" s="6" t="n">
        <v>16737.7743782364</v>
      </c>
      <c r="K15" s="6" t="n">
        <v>75771.8859158068</v>
      </c>
      <c r="L15" s="6" t="n">
        <v>38809.5003758195</v>
      </c>
      <c r="M15" s="6" t="n">
        <v>18106.0031752922</v>
      </c>
      <c r="N15" s="6" t="n">
        <v>82109.4381804814</v>
      </c>
      <c r="O15" s="6" t="n">
        <f aca="false">S15*O28</f>
        <v>1249595122.16805</v>
      </c>
      <c r="P15" s="6" t="n">
        <f aca="false">S15*P28</f>
        <v>1103958293.40441</v>
      </c>
      <c r="Q15" s="6" t="n">
        <f aca="false">S15*Q28</f>
        <v>1392462944.34325</v>
      </c>
      <c r="R15" s="6" t="n">
        <f aca="false">O15/C15</f>
        <v>1009.744932986</v>
      </c>
      <c r="S15" s="6" t="n">
        <f aca="false">C15/MAX(C28,C15+C16+C17+C18)</f>
        <v>0.349803371108233</v>
      </c>
      <c r="T15" s="6" t="s">
        <v>95</v>
      </c>
      <c r="U15" s="6" t="s">
        <v>96</v>
      </c>
    </row>
    <row r="16" s="5" customFormat="true" ht="14.25" hidden="false" customHeight="true" outlineLevel="0" collapsed="false">
      <c r="A16" s="6" t="s">
        <v>144</v>
      </c>
      <c r="B16" s="6" t="s">
        <v>128</v>
      </c>
      <c r="C16" s="6" t="n">
        <v>354416.381324971</v>
      </c>
      <c r="D16" s="6" t="n">
        <v>276334.14915056</v>
      </c>
      <c r="E16" s="6" t="n">
        <v>444348.345188614</v>
      </c>
      <c r="F16" s="6" t="n">
        <v>408131.356643586</v>
      </c>
      <c r="G16" s="6" t="n">
        <v>315454.950648776</v>
      </c>
      <c r="H16" s="6" t="n">
        <v>529943.159336432</v>
      </c>
      <c r="I16" s="6" t="n">
        <v>10225.099778682</v>
      </c>
      <c r="J16" s="6" t="n">
        <v>4766.77626837931</v>
      </c>
      <c r="K16" s="6" t="n">
        <v>21408.064801697</v>
      </c>
      <c r="L16" s="6" t="n">
        <v>11776.5703757188</v>
      </c>
      <c r="M16" s="6" t="n">
        <v>5385.69554328935</v>
      </c>
      <c r="N16" s="6" t="n">
        <v>24290.3976290052</v>
      </c>
      <c r="O16" s="6" t="n">
        <f aca="false">O28*S16</f>
        <v>357870145.210124</v>
      </c>
      <c r="P16" s="6" t="n">
        <f aca="false">P28*S16</f>
        <v>316161377.199604</v>
      </c>
      <c r="Q16" s="6" t="n">
        <f aca="false">Q28*S16</f>
        <v>398785900.530125</v>
      </c>
      <c r="R16" s="6" t="n">
        <f aca="false">O16/C16</f>
        <v>1009.744932986</v>
      </c>
      <c r="S16" s="6" t="n">
        <f aca="false">C16/MAX(C28,C15+C16+C17+C18)</f>
        <v>0.10017979503337</v>
      </c>
      <c r="T16" s="6" t="s">
        <v>95</v>
      </c>
      <c r="U16" s="6" t="s">
        <v>96</v>
      </c>
    </row>
    <row r="17" s="5" customFormat="true" ht="14.25" hidden="false" customHeight="true" outlineLevel="0" collapsed="false">
      <c r="A17" s="6" t="s">
        <v>144</v>
      </c>
      <c r="B17" s="6" t="s">
        <v>129</v>
      </c>
      <c r="C17" s="6" t="n">
        <v>1624007.60899844</v>
      </c>
      <c r="D17" s="6" t="n">
        <v>1403630.86397732</v>
      </c>
      <c r="E17" s="6" t="n">
        <v>1894916.27807513</v>
      </c>
      <c r="F17" s="6" t="n">
        <v>1895248.13635838</v>
      </c>
      <c r="G17" s="6" t="n">
        <v>1623549.53047019</v>
      </c>
      <c r="H17" s="6" t="n">
        <v>2236110.87840037</v>
      </c>
      <c r="I17" s="6" t="n">
        <v>47142.3100007507</v>
      </c>
      <c r="J17" s="6" t="n">
        <v>23132.3003731358</v>
      </c>
      <c r="K17" s="6" t="n">
        <v>102208.8972185</v>
      </c>
      <c r="L17" s="6" t="n">
        <v>54964.0185136648</v>
      </c>
      <c r="M17" s="6" t="n">
        <v>26970.8245488305</v>
      </c>
      <c r="N17" s="6" t="n">
        <v>117187.884815789</v>
      </c>
      <c r="O17" s="6" t="n">
        <f aca="false">O28*S17</f>
        <v>1639833454.31689</v>
      </c>
      <c r="P17" s="6" t="n">
        <f aca="false">P28*S17</f>
        <v>1448715435.56784</v>
      </c>
      <c r="Q17" s="6" t="n">
        <f aca="false">Q28*S17</f>
        <v>1827317728.37665</v>
      </c>
      <c r="R17" s="6" t="n">
        <f aca="false">O17/C17</f>
        <v>1009.744932986</v>
      </c>
      <c r="S17" s="6" t="n">
        <f aca="false">C17/MAX(C28,C15+C16+C17+C18)</f>
        <v>0.459044101725426</v>
      </c>
      <c r="T17" s="6" t="s">
        <v>95</v>
      </c>
      <c r="U17" s="6" t="s">
        <v>96</v>
      </c>
    </row>
    <row r="18" s="5" customFormat="true" ht="14.25" hidden="false" customHeight="true" outlineLevel="0" collapsed="false">
      <c r="A18" s="6" t="s">
        <v>144</v>
      </c>
      <c r="B18" s="6" t="s">
        <v>130</v>
      </c>
      <c r="C18" s="6" t="n">
        <v>321843.606398612</v>
      </c>
      <c r="D18" s="6" t="n">
        <v>266733.475189929</v>
      </c>
      <c r="E18" s="6" t="n">
        <v>383119.328178584</v>
      </c>
      <c r="F18" s="6" t="n">
        <v>369886.447130206</v>
      </c>
      <c r="G18" s="6" t="n">
        <v>306121.141573702</v>
      </c>
      <c r="H18" s="6" t="n">
        <v>440741.887159186</v>
      </c>
      <c r="I18" s="6" t="n">
        <v>9287.62244673322</v>
      </c>
      <c r="J18" s="6" t="n">
        <v>4592.88746986015</v>
      </c>
      <c r="K18" s="6" t="n">
        <v>19529.8829506366</v>
      </c>
      <c r="L18" s="6" t="n">
        <v>10661.604737382</v>
      </c>
      <c r="M18" s="6" t="n">
        <v>5287.19378536764</v>
      </c>
      <c r="N18" s="6" t="n">
        <v>22353.138125666</v>
      </c>
      <c r="O18" s="6" t="n">
        <f aca="false">O28*S18</f>
        <v>324979950.77494</v>
      </c>
      <c r="P18" s="6" t="n">
        <f aca="false">P28*S18</f>
        <v>287104443.258146</v>
      </c>
      <c r="Q18" s="6" t="n">
        <f aca="false">Q28*S18</f>
        <v>362135327.739973</v>
      </c>
      <c r="R18" s="6" t="n">
        <f aca="false">O18/C18</f>
        <v>1009.744932986</v>
      </c>
      <c r="S18" s="6" t="n">
        <f aca="false">C18/MAX(C28,C15+C16+C17+C18)</f>
        <v>0.0909727321329713</v>
      </c>
      <c r="T18" s="6" t="s">
        <v>95</v>
      </c>
      <c r="U18" s="6" t="s">
        <v>96</v>
      </c>
    </row>
    <row r="19" customFormat="false" ht="14.25" hidden="false" customHeight="true" outlineLevel="0" collapsed="false">
      <c r="A19" s="12" t="s">
        <v>144</v>
      </c>
      <c r="B19" s="12" t="s">
        <v>110</v>
      </c>
      <c r="C19" s="12" t="n">
        <v>959263.65464546</v>
      </c>
      <c r="D19" s="12" t="n">
        <v>650663.193068374</v>
      </c>
      <c r="E19" s="12" t="n">
        <v>1317132.03718003</v>
      </c>
      <c r="F19" s="12" t="n">
        <v>1135486.18434764</v>
      </c>
      <c r="G19" s="12" t="n">
        <v>775086.348687187</v>
      </c>
      <c r="H19" s="12" t="n">
        <v>1558948.38087946</v>
      </c>
      <c r="I19" s="12" t="n">
        <v>70060.4275224968</v>
      </c>
      <c r="J19" s="12" t="n">
        <v>42538.8667516149</v>
      </c>
      <c r="K19" s="12" t="n">
        <v>104412.980196773</v>
      </c>
      <c r="L19" s="12" t="n">
        <v>82871.1796971212</v>
      </c>
      <c r="M19" s="12" t="n">
        <v>50288.1143563742</v>
      </c>
      <c r="N19" s="12" t="n">
        <v>123423.650556686</v>
      </c>
      <c r="O19" s="12" t="n">
        <v>1363263177.44</v>
      </c>
      <c r="P19" s="12" t="n">
        <v>1226183267.7</v>
      </c>
      <c r="Q19" s="12" t="n">
        <v>1548460779.44</v>
      </c>
      <c r="R19" s="6" t="n">
        <f aca="false">O19/C19</f>
        <v>1421.15587392275</v>
      </c>
      <c r="S19" s="12"/>
      <c r="T19" s="12" t="s">
        <v>95</v>
      </c>
      <c r="U19" s="12" t="s">
        <v>96</v>
      </c>
    </row>
    <row r="20" s="5" customFormat="true" ht="14.25" hidden="false" customHeight="true" outlineLevel="0" collapsed="false">
      <c r="A20" s="6" t="s">
        <v>144</v>
      </c>
      <c r="B20" s="6" t="s">
        <v>135</v>
      </c>
      <c r="C20" s="6" t="n">
        <v>156973.436610224</v>
      </c>
      <c r="D20" s="6" t="n">
        <v>133401.93857248</v>
      </c>
      <c r="E20" s="6" t="n">
        <v>180250.512740054</v>
      </c>
      <c r="F20" s="6" t="n">
        <v>184936.028359201</v>
      </c>
      <c r="G20" s="6" t="n">
        <v>154376.466556388</v>
      </c>
      <c r="H20" s="6" t="n">
        <v>214532.830817293</v>
      </c>
      <c r="I20" s="6" t="n">
        <v>20048.100997358</v>
      </c>
      <c r="J20" s="6" t="n">
        <v>14089.4741035462</v>
      </c>
      <c r="K20" s="6" t="n">
        <v>25822.5371988134</v>
      </c>
      <c r="L20" s="6" t="n">
        <v>23614.6184515604</v>
      </c>
      <c r="M20" s="6" t="n">
        <v>16460.212481427</v>
      </c>
      <c r="N20" s="6" t="n">
        <v>30845.7441536973</v>
      </c>
      <c r="O20" s="6" t="n">
        <v>1107242242.73</v>
      </c>
      <c r="P20" s="6" t="n">
        <v>965108026.94</v>
      </c>
      <c r="Q20" s="6" t="n">
        <v>1262476902.89</v>
      </c>
      <c r="R20" s="6" t="n">
        <f aca="false">O20/C20</f>
        <v>7053.69180060293</v>
      </c>
      <c r="S20" s="6"/>
      <c r="T20" s="6" t="s">
        <v>95</v>
      </c>
      <c r="U20" s="6" t="s">
        <v>96</v>
      </c>
    </row>
    <row r="21" s="5" customFormat="true" ht="14.25" hidden="false" customHeight="true" outlineLevel="0" collapsed="false">
      <c r="A21" s="6" t="s">
        <v>144</v>
      </c>
      <c r="B21" s="6" t="s">
        <v>5</v>
      </c>
      <c r="C21" s="6" t="n">
        <v>168625.84</v>
      </c>
      <c r="D21" s="6" t="n">
        <v>131064.77</v>
      </c>
      <c r="E21" s="6" t="n">
        <v>211958.37</v>
      </c>
      <c r="F21" s="6" t="n">
        <v>150852.87</v>
      </c>
      <c r="G21" s="6" t="n">
        <v>118307.26</v>
      </c>
      <c r="H21" s="6" t="n">
        <v>196369.86</v>
      </c>
      <c r="I21" s="6" t="n">
        <v>5111.8</v>
      </c>
      <c r="J21" s="6" t="n">
        <v>2560.18</v>
      </c>
      <c r="K21" s="6" t="n">
        <v>8420.94</v>
      </c>
      <c r="L21" s="6" t="n">
        <v>4769.09</v>
      </c>
      <c r="M21" s="6" t="n">
        <v>2366.76</v>
      </c>
      <c r="N21" s="6" t="n">
        <v>8097.16</v>
      </c>
      <c r="O21" s="6" t="n">
        <f aca="false">S21*O26</f>
        <v>221692961.61812</v>
      </c>
      <c r="P21" s="6" t="n">
        <f aca="false">S21*P26</f>
        <v>199342470.205014</v>
      </c>
      <c r="Q21" s="6" t="n">
        <f aca="false">S21*Q26</f>
        <v>249600585.430085</v>
      </c>
      <c r="R21" s="6" t="n">
        <f aca="false">O21/C21</f>
        <v>1314.7033789016</v>
      </c>
      <c r="S21" s="6" t="n">
        <f aca="false">C21/C26</f>
        <v>0.284848456899345</v>
      </c>
      <c r="T21" s="6" t="s">
        <v>95</v>
      </c>
      <c r="U21" s="6" t="s">
        <v>96</v>
      </c>
    </row>
    <row r="22" s="5" customFormat="true" ht="14.25" hidden="false" customHeight="true" outlineLevel="0" collapsed="false">
      <c r="A22" s="6" t="s">
        <v>144</v>
      </c>
      <c r="B22" s="6" t="s">
        <v>114</v>
      </c>
      <c r="C22" s="6" t="n">
        <v>65365.6230105527</v>
      </c>
      <c r="D22" s="6" t="n">
        <v>58612.2585206387</v>
      </c>
      <c r="E22" s="6" t="n">
        <v>72686.8582897875</v>
      </c>
      <c r="F22" s="6" t="n">
        <v>76046.6271687134</v>
      </c>
      <c r="G22" s="6" t="n">
        <v>67824.740976854</v>
      </c>
      <c r="H22" s="6" t="n">
        <v>84400.6100704185</v>
      </c>
      <c r="I22" s="6" t="n">
        <v>7449.04385781373</v>
      </c>
      <c r="J22" s="6" t="n">
        <v>5137.76915649988</v>
      </c>
      <c r="K22" s="6" t="n">
        <v>9762.1001367952</v>
      </c>
      <c r="L22" s="6" t="n">
        <v>8646.75114021951</v>
      </c>
      <c r="M22" s="6" t="n">
        <v>6093.20228152716</v>
      </c>
      <c r="N22" s="6" t="n">
        <v>11265.6979797339</v>
      </c>
      <c r="O22" s="6" t="n">
        <v>618235795.25</v>
      </c>
      <c r="P22" s="6" t="n">
        <v>532658733.46</v>
      </c>
      <c r="Q22" s="6" t="n">
        <v>716330877.44</v>
      </c>
      <c r="R22" s="6" t="n">
        <f aca="false">O22/C22</f>
        <v>9458.11830096366</v>
      </c>
      <c r="S22" s="6"/>
      <c r="T22" s="6" t="s">
        <v>95</v>
      </c>
      <c r="U22" s="6" t="s">
        <v>96</v>
      </c>
    </row>
    <row r="23" s="5" customFormat="true" ht="14.25" hidden="false" customHeight="true" outlineLevel="0" collapsed="false">
      <c r="A23" s="6" t="s">
        <v>144</v>
      </c>
      <c r="B23" s="6" t="s">
        <v>106</v>
      </c>
      <c r="C23" s="6" t="n">
        <v>8531.68</v>
      </c>
      <c r="D23" s="6" t="n">
        <v>6727.03</v>
      </c>
      <c r="E23" s="6" t="n">
        <v>10134.03</v>
      </c>
      <c r="F23" s="6" t="n">
        <v>9695.85</v>
      </c>
      <c r="G23" s="6" t="n">
        <v>7444.4</v>
      </c>
      <c r="H23" s="6" t="n">
        <v>11357.16</v>
      </c>
      <c r="I23" s="6" t="n">
        <v>855.54</v>
      </c>
      <c r="J23" s="6" t="n">
        <v>576.74</v>
      </c>
      <c r="K23" s="6" t="n">
        <v>1127.86</v>
      </c>
      <c r="L23" s="6" t="n">
        <v>970.7</v>
      </c>
      <c r="M23" s="6" t="n">
        <v>644.99</v>
      </c>
      <c r="N23" s="6" t="n">
        <v>1320.11</v>
      </c>
      <c r="O23" s="6" t="n">
        <v>55381485.27</v>
      </c>
      <c r="P23" s="6" t="n">
        <v>45174231.17</v>
      </c>
      <c r="Q23" s="6" t="n">
        <v>66226970.91</v>
      </c>
      <c r="R23" s="6" t="n">
        <f aca="false">O23/C23</f>
        <v>6491.27548970426</v>
      </c>
      <c r="S23" s="6"/>
      <c r="T23" s="6" t="s">
        <v>95</v>
      </c>
      <c r="U23" s="6" t="s">
        <v>96</v>
      </c>
    </row>
    <row r="24" s="5" customFormat="true" ht="14.25" hidden="false" customHeight="true" outlineLevel="0" collapsed="false">
      <c r="A24" s="6" t="s">
        <v>144</v>
      </c>
      <c r="B24" s="6" t="s">
        <v>41</v>
      </c>
      <c r="C24" s="6" t="n">
        <v>563201.746713782</v>
      </c>
      <c r="D24" s="6" t="n">
        <v>501830.364538931</v>
      </c>
      <c r="E24" s="6" t="n">
        <v>611072.265426662</v>
      </c>
      <c r="F24" s="6" t="n">
        <v>651603.714503194</v>
      </c>
      <c r="G24" s="6" t="n">
        <v>568903.99864921</v>
      </c>
      <c r="H24" s="6" t="n">
        <v>712759.180805009</v>
      </c>
      <c r="I24" s="6" t="n">
        <v>88801.9397147272</v>
      </c>
      <c r="J24" s="6" t="n">
        <v>66574.8663639502</v>
      </c>
      <c r="K24" s="6" t="n">
        <v>112955.867484643</v>
      </c>
      <c r="L24" s="6" t="n">
        <v>102478.153054981</v>
      </c>
      <c r="M24" s="6" t="n">
        <v>75871.4184520167</v>
      </c>
      <c r="N24" s="6" t="n">
        <v>130678.712743655</v>
      </c>
      <c r="O24" s="6" t="n">
        <v>4685968616.55</v>
      </c>
      <c r="P24" s="6" t="n">
        <v>4229112690.25</v>
      </c>
      <c r="Q24" s="6" t="n">
        <v>5288722346.34</v>
      </c>
      <c r="R24" s="6" t="n">
        <f aca="false">O24/C24</f>
        <v>8320.23097210208</v>
      </c>
      <c r="S24" s="6"/>
      <c r="T24" s="6" t="s">
        <v>95</v>
      </c>
      <c r="U24" s="6" t="s">
        <v>96</v>
      </c>
    </row>
    <row r="26" s="5" customFormat="true" ht="14.25" hidden="false" customHeight="true" outlineLevel="0" collapsed="false">
      <c r="B26" s="5" t="s">
        <v>108</v>
      </c>
      <c r="C26" s="5" t="n">
        <v>591984.39</v>
      </c>
      <c r="D26" s="5" t="n">
        <v>479145.36</v>
      </c>
      <c r="E26" s="5" t="n">
        <v>707357.29</v>
      </c>
      <c r="F26" s="5" t="n">
        <v>607732.34</v>
      </c>
      <c r="G26" s="5" t="n">
        <v>450180.19</v>
      </c>
      <c r="H26" s="5" t="n">
        <v>763344.4</v>
      </c>
      <c r="I26" s="5" t="n">
        <v>10831.94</v>
      </c>
      <c r="J26" s="5" t="n">
        <v>6425.49</v>
      </c>
      <c r="K26" s="5" t="n">
        <v>16199.66</v>
      </c>
      <c r="L26" s="5" t="n">
        <v>10919.67</v>
      </c>
      <c r="M26" s="5" t="n">
        <v>6226.41</v>
      </c>
      <c r="N26" s="5" t="n">
        <v>17751.2</v>
      </c>
      <c r="O26" s="5" t="n">
        <v>778283877.79</v>
      </c>
      <c r="P26" s="5" t="n">
        <v>699819378.96</v>
      </c>
      <c r="Q26" s="5" t="n">
        <v>876257460.36</v>
      </c>
    </row>
    <row r="27" s="5" customFormat="true" ht="14.25" hidden="false" customHeight="true" outlineLevel="0" collapsed="false">
      <c r="A27" s="6"/>
      <c r="B27" s="6" t="s">
        <v>109</v>
      </c>
      <c r="C27" s="6" t="n">
        <v>6001497.91679983</v>
      </c>
      <c r="D27" s="6" t="n">
        <v>5941485.704069</v>
      </c>
      <c r="E27" s="6" t="n">
        <v>6035216.92040148</v>
      </c>
      <c r="F27" s="6" t="n">
        <v>6879880.29062669</v>
      </c>
      <c r="G27" s="6" t="n">
        <v>6789696.05120608</v>
      </c>
      <c r="H27" s="6" t="n">
        <v>6928603.81425611</v>
      </c>
      <c r="I27" s="6" t="n">
        <v>448103.099631209</v>
      </c>
      <c r="J27" s="6" t="n">
        <v>325285.601367441</v>
      </c>
      <c r="K27" s="6" t="n">
        <v>603690.45597047</v>
      </c>
      <c r="L27" s="6" t="n">
        <v>498858.878494655</v>
      </c>
      <c r="M27" s="6" t="n">
        <v>362157.90271443</v>
      </c>
      <c r="N27" s="6" t="n">
        <v>668485.472616049</v>
      </c>
      <c r="O27" s="6" t="n">
        <f aca="false">O8+O6</f>
        <v>5633521515.18</v>
      </c>
      <c r="P27" s="6" t="n">
        <f aca="false">P8+P6</f>
        <v>5159796889.83</v>
      </c>
      <c r="Q27" s="6" t="n">
        <f aca="false">Q8+Q6</f>
        <v>6253135323.92</v>
      </c>
      <c r="R27" s="6" t="n">
        <f aca="false">O27/C27</f>
        <v>938.685906965032</v>
      </c>
      <c r="S27" s="6"/>
      <c r="T27" s="6"/>
      <c r="U27" s="6"/>
    </row>
    <row r="28" s="5" customFormat="true" ht="14.25" hidden="false" customHeight="true" outlineLevel="0" collapsed="false">
      <c r="A28" s="6"/>
      <c r="B28" s="6" t="s">
        <v>131</v>
      </c>
      <c r="C28" s="6" t="n">
        <v>2901009.99232219</v>
      </c>
      <c r="D28" s="6" t="n">
        <v>2626480.52298765</v>
      </c>
      <c r="E28" s="6" t="n">
        <v>3162498.98731233</v>
      </c>
      <c r="F28" s="6" t="n">
        <v>3302245.13631875</v>
      </c>
      <c r="G28" s="6" t="n">
        <v>2995874.72326574</v>
      </c>
      <c r="H28" s="6" t="n">
        <v>3620146.06729887</v>
      </c>
      <c r="I28" s="6" t="n">
        <v>102569.70561043</v>
      </c>
      <c r="J28" s="6" t="n">
        <v>50432.0807825325</v>
      </c>
      <c r="K28" s="6" t="n">
        <v>215114.584582849</v>
      </c>
      <c r="L28" s="6" t="n">
        <v>116211.694002585</v>
      </c>
      <c r="M28" s="6" t="n">
        <v>57296.5251047634</v>
      </c>
      <c r="N28" s="6" t="n">
        <v>245622.788501863</v>
      </c>
      <c r="O28" s="6" t="n">
        <v>3572278672.47</v>
      </c>
      <c r="P28" s="6" t="n">
        <v>3155939549.43</v>
      </c>
      <c r="Q28" s="6" t="n">
        <v>3980701900.99</v>
      </c>
      <c r="R28" s="6" t="n">
        <f aca="false">O28/C28</f>
        <v>1231.39137125497</v>
      </c>
      <c r="S28" s="6"/>
      <c r="T28" s="6" t="s">
        <v>95</v>
      </c>
      <c r="U28" s="6" t="s">
        <v>96</v>
      </c>
    </row>
    <row r="30" customFormat="false" ht="14.25" hidden="false" customHeight="true" outlineLevel="0" collapsed="false">
      <c r="D30" s="1" t="s">
        <v>125</v>
      </c>
      <c r="E30" s="1" t="n">
        <f aca="false">C6/C27</f>
        <v>1.35357731606385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1" activeCellId="0" sqref="Q21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34.88"/>
    <col collapsed="false" customWidth="true" hidden="false" outlineLevel="0" max="3" min="3" style="1" width="18.67"/>
    <col collapsed="false" customWidth="true" hidden="false" outlineLevel="0" max="4" min="4" style="1" width="16.11"/>
    <col collapsed="false" customWidth="true" hidden="false" outlineLevel="0" max="5" min="5" style="1" width="15"/>
    <col collapsed="false" customWidth="true" hidden="false" outlineLevel="0" max="6" min="6" style="1" width="16.11"/>
    <col collapsed="false" customWidth="true" hidden="false" outlineLevel="0" max="7" min="7" style="1" width="13.88"/>
    <col collapsed="false" customWidth="true" hidden="false" outlineLevel="0" max="8" min="8" style="1" width="13.44"/>
    <col collapsed="false" customWidth="true" hidden="false" outlineLevel="0" max="9" min="9" style="1" width="13.75"/>
    <col collapsed="false" customWidth="true" hidden="false" outlineLevel="0" max="13" min="10" style="1" width="9.56"/>
    <col collapsed="false" customWidth="true" hidden="false" outlineLevel="0" max="14" min="14" style="1" width="12"/>
    <col collapsed="false" customWidth="true" hidden="false" outlineLevel="0" max="15" min="15" style="1" width="21.11"/>
    <col collapsed="false" customWidth="true" hidden="false" outlineLevel="0" max="16" min="16" style="1" width="14.67"/>
    <col collapsed="false" customWidth="true" hidden="false" outlineLevel="0" max="17" min="17" style="1" width="19.88"/>
    <col collapsed="false" customWidth="true" hidden="false" outlineLevel="0" max="18" min="18" style="1" width="14.79"/>
    <col collapsed="false" customWidth="true" hidden="false" outlineLevel="0" max="19" min="19" style="1" width="8.88"/>
  </cols>
  <sheetData>
    <row r="1" customFormat="false" ht="14.25" hidden="false" customHeight="true" outlineLevel="0" collapsed="false">
      <c r="A1" s="16" t="s">
        <v>72</v>
      </c>
      <c r="B1" s="16" t="s">
        <v>73</v>
      </c>
      <c r="C1" s="16" t="s">
        <v>74</v>
      </c>
      <c r="D1" s="16" t="s">
        <v>75</v>
      </c>
      <c r="E1" s="16" t="s">
        <v>76</v>
      </c>
      <c r="F1" s="16" t="s">
        <v>77</v>
      </c>
      <c r="G1" s="16" t="s">
        <v>78</v>
      </c>
      <c r="H1" s="16" t="s">
        <v>79</v>
      </c>
      <c r="I1" s="16" t="s">
        <v>80</v>
      </c>
      <c r="J1" s="16" t="s">
        <v>81</v>
      </c>
      <c r="K1" s="16" t="s">
        <v>82</v>
      </c>
      <c r="L1" s="16" t="s">
        <v>83</v>
      </c>
      <c r="M1" s="16" t="s">
        <v>84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6" t="s">
        <v>90</v>
      </c>
      <c r="T1" s="16" t="s">
        <v>91</v>
      </c>
      <c r="U1" s="16" t="s">
        <v>92</v>
      </c>
    </row>
    <row r="2" s="5" customFormat="true" ht="14.25" hidden="false" customHeight="true" outlineLevel="0" collapsed="false">
      <c r="A2" s="6" t="s">
        <v>145</v>
      </c>
      <c r="B2" s="6" t="s">
        <v>19</v>
      </c>
      <c r="C2" s="6" t="n">
        <v>1603343.94985847</v>
      </c>
      <c r="D2" s="6" t="n">
        <v>1290925.49825958</v>
      </c>
      <c r="E2" s="6" t="n">
        <v>1937678.53442969</v>
      </c>
      <c r="F2" s="6" t="n">
        <v>1568431.2149573</v>
      </c>
      <c r="G2" s="6" t="n">
        <v>1252983.07762987</v>
      </c>
      <c r="H2" s="6" t="n">
        <v>1903412.92868975</v>
      </c>
      <c r="I2" s="6" t="n">
        <v>336268.918552912</v>
      </c>
      <c r="J2" s="6" t="n">
        <v>228294.273095008</v>
      </c>
      <c r="K2" s="6" t="n">
        <v>440735.351194195</v>
      </c>
      <c r="L2" s="6" t="n">
        <v>327408.205036549</v>
      </c>
      <c r="M2" s="6" t="n">
        <v>220888.554460769</v>
      </c>
      <c r="N2" s="6" t="n">
        <v>431037.219644414</v>
      </c>
      <c r="O2" s="6" t="n">
        <v>18680731281.53</v>
      </c>
      <c r="P2" s="6" t="n">
        <v>17075727069.26</v>
      </c>
      <c r="Q2" s="6" t="n">
        <v>20723969663.39</v>
      </c>
      <c r="R2" s="6" t="n">
        <f aca="false">O2/C2</f>
        <v>11651.1066032831</v>
      </c>
      <c r="S2" s="6"/>
      <c r="T2" s="6"/>
      <c r="U2" s="6"/>
    </row>
    <row r="3" s="5" customFormat="true" ht="14.25" hidden="false" customHeight="true" outlineLevel="0" collapsed="false">
      <c r="A3" s="6" t="s">
        <v>145</v>
      </c>
      <c r="B3" s="6" t="s">
        <v>94</v>
      </c>
      <c r="C3" s="6" t="n">
        <v>4285.66706301776</v>
      </c>
      <c r="D3" s="6" t="n">
        <v>1693.02747130779</v>
      </c>
      <c r="E3" s="6" t="n">
        <v>8437.83385156126</v>
      </c>
      <c r="F3" s="6" t="n">
        <v>4537.47981664942</v>
      </c>
      <c r="G3" s="6" t="n">
        <v>1776.17782828356</v>
      </c>
      <c r="H3" s="6" t="n">
        <v>9114.28416239102</v>
      </c>
      <c r="I3" s="6" t="n">
        <v>630.817831670337</v>
      </c>
      <c r="J3" s="6" t="n">
        <v>337.692161741661</v>
      </c>
      <c r="K3" s="6" t="n">
        <v>1047.52364682792</v>
      </c>
      <c r="L3" s="6" t="n">
        <v>653.472367340771</v>
      </c>
      <c r="M3" s="6" t="n">
        <v>326.374610745985</v>
      </c>
      <c r="N3" s="6" t="n">
        <v>1100.77175515051</v>
      </c>
      <c r="O3" s="6" t="n">
        <v>84221991.18</v>
      </c>
      <c r="P3" s="6" t="n">
        <v>73645611.33</v>
      </c>
      <c r="Q3" s="6" t="n">
        <v>96955616.83</v>
      </c>
      <c r="R3" s="6" t="n">
        <f aca="false">O3/C3</f>
        <v>19652.0144802604</v>
      </c>
      <c r="S3" s="6"/>
      <c r="T3" s="6"/>
      <c r="U3" s="6"/>
    </row>
    <row r="4" s="5" customFormat="true" ht="14.25" hidden="false" customHeight="true" outlineLevel="0" collapsed="false">
      <c r="A4" s="6" t="s">
        <v>145</v>
      </c>
      <c r="B4" s="6" t="s">
        <v>119</v>
      </c>
      <c r="C4" s="6" t="n">
        <v>12729.6350417111</v>
      </c>
      <c r="D4" s="6" t="n">
        <v>8232.67072945623</v>
      </c>
      <c r="E4" s="6" t="n">
        <v>17725.0663065065</v>
      </c>
      <c r="F4" s="6" t="n">
        <v>13568.4708434333</v>
      </c>
      <c r="G4" s="6" t="n">
        <v>8953.45009396386</v>
      </c>
      <c r="H4" s="6" t="n">
        <v>18647.0462730086</v>
      </c>
      <c r="I4" s="6" t="n">
        <v>1098.44571707133</v>
      </c>
      <c r="J4" s="6" t="n">
        <v>582.996878570584</v>
      </c>
      <c r="K4" s="6" t="n">
        <v>1716.06597836945</v>
      </c>
      <c r="L4" s="6" t="n">
        <v>1168.30486866239</v>
      </c>
      <c r="M4" s="6" t="n">
        <v>620.876868630566</v>
      </c>
      <c r="N4" s="6" t="n">
        <v>1801.65212603727</v>
      </c>
      <c r="O4" s="6" t="n">
        <v>171251038.09</v>
      </c>
      <c r="P4" s="6" t="n">
        <v>142790915.76</v>
      </c>
      <c r="Q4" s="6" t="n">
        <v>202969856.85</v>
      </c>
      <c r="R4" s="6" t="n">
        <f aca="false">O4/C4</f>
        <v>13452.94170091</v>
      </c>
      <c r="S4" s="6"/>
      <c r="T4" s="6"/>
      <c r="U4" s="6"/>
    </row>
    <row r="5" s="5" customFormat="true" ht="14.25" hidden="false" customHeight="true" outlineLevel="0" collapsed="false">
      <c r="A5" s="6" t="s">
        <v>145</v>
      </c>
      <c r="B5" s="6" t="s">
        <v>122</v>
      </c>
      <c r="C5" s="6" t="n">
        <v>1750755.05830536</v>
      </c>
      <c r="D5" s="6" t="n">
        <v>1610949.81431772</v>
      </c>
      <c r="E5" s="6" t="n">
        <v>1903005.06591541</v>
      </c>
      <c r="F5" s="6" t="n">
        <v>1934596.63650889</v>
      </c>
      <c r="G5" s="6" t="n">
        <v>1772247.06657389</v>
      </c>
      <c r="H5" s="6" t="n">
        <v>2105953.61476455</v>
      </c>
      <c r="I5" s="6" t="n">
        <v>147148.656666749</v>
      </c>
      <c r="J5" s="6" t="n">
        <v>109146.26258538</v>
      </c>
      <c r="K5" s="6" t="n">
        <v>189395.920252366</v>
      </c>
      <c r="L5" s="6" t="n">
        <v>162528.368376531</v>
      </c>
      <c r="M5" s="6" t="n">
        <v>119790.514033075</v>
      </c>
      <c r="N5" s="6" t="n">
        <v>210072.332657819</v>
      </c>
      <c r="O5" s="6" t="n">
        <v>27230969739</v>
      </c>
      <c r="P5" s="6" t="n">
        <v>24247857342.78</v>
      </c>
      <c r="Q5" s="6" t="n">
        <v>30486801231.09</v>
      </c>
      <c r="R5" s="6" t="n">
        <f aca="false">O5/C5</f>
        <v>15553.8432459868</v>
      </c>
      <c r="S5" s="6"/>
      <c r="T5" s="6"/>
      <c r="U5" s="6"/>
    </row>
    <row r="6" s="5" customFormat="true" ht="14.25" hidden="false" customHeight="true" outlineLevel="0" collapsed="false">
      <c r="A6" s="6" t="s">
        <v>145</v>
      </c>
      <c r="B6" s="6" t="s">
        <v>26</v>
      </c>
      <c r="C6" s="6" t="n">
        <v>9116124.62095178</v>
      </c>
      <c r="D6" s="6" t="n">
        <v>8319619.80786676</v>
      </c>
      <c r="E6" s="6" t="n">
        <v>9872349.25648567</v>
      </c>
      <c r="F6" s="6" t="n">
        <v>8986026.29174374</v>
      </c>
      <c r="G6" s="6" t="n">
        <v>8184914.23774083</v>
      </c>
      <c r="H6" s="6" t="n">
        <v>9754395.87984767</v>
      </c>
      <c r="I6" s="6" t="n">
        <v>397213.602803819</v>
      </c>
      <c r="J6" s="6" t="n">
        <v>286365.720708725</v>
      </c>
      <c r="K6" s="6" t="n">
        <v>542522.464342604</v>
      </c>
      <c r="L6" s="6" t="n">
        <v>392450.812733825</v>
      </c>
      <c r="M6" s="6" t="n">
        <v>283427.901892176</v>
      </c>
      <c r="N6" s="6" t="n">
        <v>536142.349043408</v>
      </c>
      <c r="O6" s="6" t="n">
        <v>10236281479.78</v>
      </c>
      <c r="P6" s="6" t="n">
        <v>9278127811.28</v>
      </c>
      <c r="Q6" s="6" t="n">
        <v>11412980162.6</v>
      </c>
      <c r="R6" s="6" t="n">
        <f aca="false">O6/C6</f>
        <v>1122.87643109373</v>
      </c>
      <c r="S6" s="6"/>
      <c r="T6" s="6"/>
      <c r="U6" s="6"/>
    </row>
    <row r="7" s="5" customFormat="true" ht="14.25" hidden="false" customHeight="true" outlineLevel="0" collapsed="false">
      <c r="A7" s="6" t="s">
        <v>145</v>
      </c>
      <c r="B7" s="6" t="s">
        <v>9</v>
      </c>
      <c r="C7" s="6" t="n">
        <v>529739.639093063</v>
      </c>
      <c r="D7" s="6" t="n">
        <v>421981.717723996</v>
      </c>
      <c r="E7" s="6" t="n">
        <v>663906.621634564</v>
      </c>
      <c r="F7" s="6" t="n">
        <v>469685.935861713</v>
      </c>
      <c r="G7" s="6" t="n">
        <v>337470.362996259</v>
      </c>
      <c r="H7" s="6" t="n">
        <v>652379.482207005</v>
      </c>
      <c r="I7" s="6" t="n">
        <v>13654.8321219197</v>
      </c>
      <c r="J7" s="6" t="n">
        <v>9019.10349903278</v>
      </c>
      <c r="K7" s="6" t="n">
        <v>19369.3022111559</v>
      </c>
      <c r="L7" s="6" t="n">
        <v>12091.7505278265</v>
      </c>
      <c r="M7" s="6" t="n">
        <v>7491.88816512052</v>
      </c>
      <c r="N7" s="6" t="n">
        <v>18714.1509468249</v>
      </c>
      <c r="O7" s="6" t="n">
        <v>180388562.42</v>
      </c>
      <c r="P7" s="6" t="n">
        <v>151291609.93</v>
      </c>
      <c r="Q7" s="6" t="n">
        <v>214769241.92</v>
      </c>
      <c r="R7" s="6" t="n">
        <f aca="false">O7/C7</f>
        <v>340.523059080179</v>
      </c>
      <c r="S7" s="6"/>
      <c r="T7" s="6"/>
      <c r="U7" s="6"/>
    </row>
    <row r="8" s="5" customFormat="true" ht="14.25" hidden="false" customHeight="true" outlineLevel="0" collapsed="false">
      <c r="A8" s="6" t="s">
        <v>145</v>
      </c>
      <c r="B8" s="6" t="s">
        <v>22</v>
      </c>
      <c r="C8" s="6" t="n">
        <v>2839835.10703801</v>
      </c>
      <c r="D8" s="7" t="n">
        <v>2573928.92048354</v>
      </c>
      <c r="E8" s="7" t="n">
        <v>3105741.29359249</v>
      </c>
      <c r="F8" s="6" t="n">
        <v>2945552.66977601</v>
      </c>
      <c r="G8" s="7" t="n">
        <v>2657130.47840631</v>
      </c>
      <c r="H8" s="7" t="n">
        <v>3233974.8611457</v>
      </c>
      <c r="I8" s="6" t="n">
        <f aca="false">I26-I6</f>
        <v>99822.984231555</v>
      </c>
      <c r="J8" s="6" t="n">
        <f aca="false">J26-J6</f>
        <v>71133.764515969</v>
      </c>
      <c r="K8" s="6" t="n">
        <f aca="false">K26-K6</f>
        <v>137399.938998654</v>
      </c>
      <c r="L8" s="6" t="n">
        <f aca="false">L26-L6</f>
        <v>102620.180732732</v>
      </c>
      <c r="M8" s="6" t="n">
        <f aca="false">M26-M6</f>
        <v>74530.169471483</v>
      </c>
      <c r="N8" s="6" t="n">
        <f aca="false">N26-N6</f>
        <v>137795.972450697</v>
      </c>
      <c r="O8" s="5" t="n">
        <v>310441161.43</v>
      </c>
      <c r="P8" s="5" t="n">
        <v>275259665.92</v>
      </c>
      <c r="Q8" s="5" t="n">
        <v>356509082.65</v>
      </c>
      <c r="R8" s="6"/>
    </row>
    <row r="9" s="5" customFormat="true" ht="14.25" hidden="false" customHeight="true" outlineLevel="0" collapsed="false">
      <c r="A9" s="6" t="s">
        <v>145</v>
      </c>
      <c r="B9" s="6" t="s">
        <v>120</v>
      </c>
      <c r="C9" s="6" t="n">
        <v>1444995.28483729</v>
      </c>
      <c r="D9" s="6" t="n">
        <v>1263841.75356483</v>
      </c>
      <c r="E9" s="6" t="n">
        <v>1663946.86357986</v>
      </c>
      <c r="F9" s="6" t="n">
        <v>1462648.52728061</v>
      </c>
      <c r="G9" s="6" t="n">
        <v>1275946.36855454</v>
      </c>
      <c r="H9" s="6" t="n">
        <v>1687597.32995786</v>
      </c>
      <c r="I9" s="6" t="n">
        <v>130757.631579844</v>
      </c>
      <c r="J9" s="6" t="n">
        <v>95914.9882774463</v>
      </c>
      <c r="K9" s="6" t="n">
        <v>167555.535679047</v>
      </c>
      <c r="L9" s="6" t="n">
        <v>132132.410803872</v>
      </c>
      <c r="M9" s="6" t="n">
        <v>96668.3981541742</v>
      </c>
      <c r="N9" s="6" t="n">
        <v>170026.540904815</v>
      </c>
      <c r="O9" s="6" t="n">
        <v>2070850804.22</v>
      </c>
      <c r="P9" s="6" t="n">
        <v>1886378482.03</v>
      </c>
      <c r="Q9" s="6" t="n">
        <v>2299633289.97</v>
      </c>
      <c r="R9" s="6" t="n">
        <f aca="false">O9/C9</f>
        <v>1433.11941980017</v>
      </c>
      <c r="S9" s="6"/>
      <c r="T9" s="6"/>
      <c r="U9" s="6"/>
    </row>
    <row r="10" s="5" customFormat="true" ht="14.25" hidden="false" customHeight="true" outlineLevel="0" collapsed="false">
      <c r="A10" s="6" t="s">
        <v>145</v>
      </c>
      <c r="B10" s="6" t="s">
        <v>134</v>
      </c>
      <c r="C10" s="6" t="n">
        <v>2245444.17147523</v>
      </c>
      <c r="D10" s="6" t="n">
        <v>1932541.83642303</v>
      </c>
      <c r="E10" s="6" t="n">
        <v>2630127.70581068</v>
      </c>
      <c r="F10" s="6" t="n">
        <v>2379236.19877955</v>
      </c>
      <c r="G10" s="6" t="n">
        <v>1889471.10855473</v>
      </c>
      <c r="H10" s="6" t="n">
        <v>3063277.25042864</v>
      </c>
      <c r="I10" s="6" t="n">
        <v>9647.20615149909</v>
      </c>
      <c r="J10" s="6" t="n">
        <v>4158.08200723957</v>
      </c>
      <c r="K10" s="6" t="n">
        <v>18257.2903789855</v>
      </c>
      <c r="L10" s="6" t="n">
        <v>10178.8176273897</v>
      </c>
      <c r="M10" s="6" t="n">
        <v>4219.46510805799</v>
      </c>
      <c r="N10" s="6" t="n">
        <v>19846.5979139052</v>
      </c>
      <c r="O10" s="6" t="n">
        <v>919563814.25</v>
      </c>
      <c r="P10" s="6" t="n">
        <v>782727031.96</v>
      </c>
      <c r="Q10" s="6" t="n">
        <v>1097804448.32</v>
      </c>
      <c r="R10" s="6" t="n">
        <f aca="false">O10/C10</f>
        <v>409.524238425335</v>
      </c>
      <c r="S10" s="6"/>
      <c r="T10" s="6"/>
      <c r="U10" s="6"/>
    </row>
    <row r="11" s="5" customFormat="true" ht="14.25" hidden="false" customHeight="true" outlineLevel="0" collapsed="false">
      <c r="A11" s="6" t="s">
        <v>145</v>
      </c>
      <c r="B11" s="6" t="s">
        <v>98</v>
      </c>
      <c r="C11" s="6" t="n">
        <v>1186.23442141836</v>
      </c>
      <c r="D11" s="6" t="n">
        <v>888.437230221668</v>
      </c>
      <c r="E11" s="6" t="n">
        <v>1446.52724280459</v>
      </c>
      <c r="F11" s="6" t="n">
        <v>1207.66467638266</v>
      </c>
      <c r="G11" s="6" t="n">
        <v>922.164123764017</v>
      </c>
      <c r="H11" s="6" t="n">
        <v>1501.24517896488</v>
      </c>
      <c r="I11" s="6" t="n">
        <v>218.676944761023</v>
      </c>
      <c r="J11" s="6" t="n">
        <v>143.9163057632</v>
      </c>
      <c r="K11" s="6" t="n">
        <v>300.542284655321</v>
      </c>
      <c r="L11" s="6" t="n">
        <v>223.503295924604</v>
      </c>
      <c r="M11" s="6" t="n">
        <v>145.078034150446</v>
      </c>
      <c r="N11" s="6" t="n">
        <v>312.550083342448</v>
      </c>
      <c r="O11" s="6" t="n">
        <v>188877177.83</v>
      </c>
      <c r="P11" s="6" t="n">
        <v>157022971.13</v>
      </c>
      <c r="Q11" s="6" t="n">
        <v>225020636.5</v>
      </c>
      <c r="R11" s="6" t="n">
        <f aca="false">O11/C11</f>
        <v>159224.158749468</v>
      </c>
      <c r="S11" s="6"/>
      <c r="T11" s="6"/>
      <c r="U11" s="6"/>
    </row>
    <row r="12" s="5" customFormat="true" ht="14.25" hidden="false" customHeight="true" outlineLevel="0" collapsed="false">
      <c r="A12" s="6" t="s">
        <v>145</v>
      </c>
      <c r="B12" s="6" t="s">
        <v>44</v>
      </c>
      <c r="C12" s="6" t="n">
        <v>1666.99081055961</v>
      </c>
      <c r="D12" s="6" t="n">
        <v>1343.53332863145</v>
      </c>
      <c r="E12" s="6" t="n">
        <v>2003.8210540406</v>
      </c>
      <c r="F12" s="6" t="n">
        <v>1759.07004467918</v>
      </c>
      <c r="G12" s="6" t="n">
        <v>1388.77621401345</v>
      </c>
      <c r="H12" s="6" t="n">
        <v>2194.00005377106</v>
      </c>
      <c r="I12" s="6" t="n">
        <v>353.305407109018</v>
      </c>
      <c r="J12" s="6" t="n">
        <v>246.404180762598</v>
      </c>
      <c r="K12" s="6" t="n">
        <v>464.667012281774</v>
      </c>
      <c r="L12" s="6" t="n">
        <v>372.580417751769</v>
      </c>
      <c r="M12" s="6" t="n">
        <v>257.844620333195</v>
      </c>
      <c r="N12" s="6" t="n">
        <v>493.918690183091</v>
      </c>
      <c r="O12" s="6" t="n">
        <v>39981241.89</v>
      </c>
      <c r="P12" s="6" t="n">
        <v>30950594.49</v>
      </c>
      <c r="Q12" s="6" t="n">
        <v>50421115.83</v>
      </c>
      <c r="R12" s="6" t="n">
        <f aca="false">O12/C12</f>
        <v>23984.0805580555</v>
      </c>
      <c r="S12" s="6"/>
      <c r="T12" s="6"/>
      <c r="U12" s="6"/>
    </row>
    <row r="13" s="5" customFormat="true" ht="14.25" hidden="false" customHeight="true" outlineLevel="0" collapsed="false">
      <c r="A13" s="6" t="s">
        <v>145</v>
      </c>
      <c r="B13" s="6" t="s">
        <v>12</v>
      </c>
      <c r="C13" s="6" t="n">
        <v>6219.66</v>
      </c>
      <c r="D13" s="14"/>
      <c r="E13" s="14"/>
      <c r="F13" s="6" t="n">
        <v>6277.8</v>
      </c>
      <c r="G13" s="14"/>
      <c r="H13" s="14"/>
      <c r="I13" s="6" t="n">
        <v>1304.36</v>
      </c>
      <c r="J13" s="14"/>
      <c r="K13" s="14"/>
      <c r="L13" s="6" t="n">
        <v>1306.32</v>
      </c>
      <c r="M13" s="14"/>
      <c r="N13" s="14"/>
      <c r="O13" s="6" t="n">
        <v>41674660.15</v>
      </c>
      <c r="P13" s="6" t="n">
        <v>34874953.12</v>
      </c>
      <c r="Q13" s="6" t="n">
        <v>49913404.84</v>
      </c>
      <c r="R13" s="6" t="n">
        <f aca="false">O13/C13</f>
        <v>6700.47239720499</v>
      </c>
      <c r="S13" s="6"/>
      <c r="T13" s="6" t="s">
        <v>95</v>
      </c>
      <c r="U13" s="6" t="s">
        <v>96</v>
      </c>
    </row>
    <row r="14" s="5" customFormat="true" ht="14.25" hidden="false" customHeight="true" outlineLevel="0" collapsed="false">
      <c r="A14" s="6" t="s">
        <v>145</v>
      </c>
      <c r="B14" s="6" t="s">
        <v>113</v>
      </c>
      <c r="C14" s="6" t="n">
        <v>208373.7220145</v>
      </c>
      <c r="D14" s="6" t="n">
        <v>135050.956370798</v>
      </c>
      <c r="E14" s="6" t="n">
        <v>315346.356334326</v>
      </c>
      <c r="F14" s="6" t="n">
        <v>209584.029482961</v>
      </c>
      <c r="G14" s="6" t="n">
        <v>138016.352180593</v>
      </c>
      <c r="H14" s="6" t="n">
        <v>308306.139011561</v>
      </c>
      <c r="I14" s="6" t="n">
        <v>17180.0326136052</v>
      </c>
      <c r="J14" s="6" t="n">
        <v>10245.1823816069</v>
      </c>
      <c r="K14" s="6" t="n">
        <v>28087.9163781646</v>
      </c>
      <c r="L14" s="6" t="n">
        <v>17235.1616544295</v>
      </c>
      <c r="M14" s="6" t="n">
        <v>10706.4912395092</v>
      </c>
      <c r="N14" s="6" t="n">
        <v>27548.7102563665</v>
      </c>
      <c r="O14" s="6" t="n">
        <v>348518426.82</v>
      </c>
      <c r="P14" s="6" t="n">
        <v>304382222.82</v>
      </c>
      <c r="Q14" s="6" t="n">
        <v>401554255.03</v>
      </c>
      <c r="R14" s="6" t="n">
        <f aca="false">O14/C14</f>
        <v>1672.5641959582</v>
      </c>
      <c r="S14" s="6"/>
      <c r="T14" s="6"/>
      <c r="U14" s="6"/>
    </row>
    <row r="15" s="5" customFormat="true" ht="14.25" hidden="false" customHeight="true" outlineLevel="0" collapsed="false">
      <c r="A15" s="6" t="s">
        <v>145</v>
      </c>
      <c r="B15" s="6" t="s">
        <v>64</v>
      </c>
      <c r="C15" s="6" t="n">
        <v>1422362.97417235</v>
      </c>
      <c r="D15" s="6" t="n">
        <v>1095239.61364364</v>
      </c>
      <c r="E15" s="6" t="n">
        <v>1778706.52709946</v>
      </c>
      <c r="F15" s="6" t="n">
        <v>1354667.36803103</v>
      </c>
      <c r="G15" s="6" t="n">
        <v>1044186.88030613</v>
      </c>
      <c r="H15" s="6" t="n">
        <v>1696862.52922921</v>
      </c>
      <c r="I15" s="6" t="n">
        <v>39949.9260143313</v>
      </c>
      <c r="J15" s="6" t="n">
        <v>19115.6804524754</v>
      </c>
      <c r="K15" s="6" t="n">
        <v>82241.0306298793</v>
      </c>
      <c r="L15" s="6" t="n">
        <v>37986.5860663825</v>
      </c>
      <c r="M15" s="6" t="n">
        <v>18195.0188059665</v>
      </c>
      <c r="N15" s="6" t="n">
        <v>77991.2247342569</v>
      </c>
      <c r="O15" s="6" t="n">
        <f aca="false">S15*O28</f>
        <v>1478017371.62857</v>
      </c>
      <c r="P15" s="6" t="n">
        <f aca="false">S15*P28</f>
        <v>1283401886.7962</v>
      </c>
      <c r="Q15" s="6" t="n">
        <f aca="false">S15*Q28</f>
        <v>1689416346.01914</v>
      </c>
      <c r="R15" s="6" t="n">
        <f aca="false">O15/C15</f>
        <v>1039.12812584889</v>
      </c>
      <c r="S15" s="6" t="n">
        <f aca="false">C15/MAX(C28,C15+C16+C17+C18)</f>
        <v>0.391481888149075</v>
      </c>
      <c r="T15" s="6"/>
      <c r="U15" s="6"/>
    </row>
    <row r="16" s="5" customFormat="true" ht="14.25" hidden="false" customHeight="true" outlineLevel="0" collapsed="false">
      <c r="A16" s="6" t="s">
        <v>145</v>
      </c>
      <c r="B16" s="6" t="s">
        <v>128</v>
      </c>
      <c r="C16" s="6" t="n">
        <v>366976.246900126</v>
      </c>
      <c r="D16" s="6" t="n">
        <v>286242.550753934</v>
      </c>
      <c r="E16" s="6" t="n">
        <v>460124.145157591</v>
      </c>
      <c r="F16" s="6" t="n">
        <v>370662.001700635</v>
      </c>
      <c r="G16" s="6" t="n">
        <v>286151.065751981</v>
      </c>
      <c r="H16" s="6" t="n">
        <v>478448.465318139</v>
      </c>
      <c r="I16" s="6" t="n">
        <v>10262.4896764681</v>
      </c>
      <c r="J16" s="6" t="n">
        <v>4748.92790172191</v>
      </c>
      <c r="K16" s="6" t="n">
        <v>21447.3158700947</v>
      </c>
      <c r="L16" s="6" t="n">
        <v>10350.5180997005</v>
      </c>
      <c r="M16" s="6" t="n">
        <v>4777.38546214642</v>
      </c>
      <c r="N16" s="6" t="n">
        <v>21444.729051498</v>
      </c>
      <c r="O16" s="6" t="n">
        <f aca="false">S16*O28</f>
        <v>381335339.672387</v>
      </c>
      <c r="P16" s="6" t="n">
        <f aca="false">S16*P28</f>
        <v>331123641.597226</v>
      </c>
      <c r="Q16" s="6" t="n">
        <f aca="false">S16*Q28</f>
        <v>435877255.92659</v>
      </c>
      <c r="R16" s="6" t="n">
        <f aca="false">O16/C16</f>
        <v>1039.12812584889</v>
      </c>
      <c r="S16" s="6" t="n">
        <f aca="false">C16/MAX(C28,C15+C16+C17+C18)</f>
        <v>0.101004143563227</v>
      </c>
      <c r="T16" s="6" t="s">
        <v>146</v>
      </c>
      <c r="U16" s="6"/>
    </row>
    <row r="17" s="5" customFormat="true" ht="14.25" hidden="false" customHeight="true" outlineLevel="0" collapsed="false">
      <c r="A17" s="6" t="s">
        <v>145</v>
      </c>
      <c r="B17" s="6" t="s">
        <v>129</v>
      </c>
      <c r="C17" s="6" t="n">
        <v>1462368.48255681</v>
      </c>
      <c r="D17" s="6" t="n">
        <v>1273534.3155286</v>
      </c>
      <c r="E17" s="6" t="n">
        <v>1704632.55448544</v>
      </c>
      <c r="F17" s="6" t="n">
        <v>1507007.8164387</v>
      </c>
      <c r="G17" s="6" t="n">
        <v>1300230.78920344</v>
      </c>
      <c r="H17" s="6" t="n">
        <v>1771831.58540837</v>
      </c>
      <c r="I17" s="6" t="n">
        <v>41168.7230884057</v>
      </c>
      <c r="J17" s="6" t="n">
        <v>20513.5876068707</v>
      </c>
      <c r="K17" s="6" t="n">
        <v>87880.9956359905</v>
      </c>
      <c r="L17" s="6" t="n">
        <v>42357.2106903073</v>
      </c>
      <c r="M17" s="6" t="n">
        <v>21242.9023816083</v>
      </c>
      <c r="N17" s="6" t="n">
        <v>88934.6093683632</v>
      </c>
      <c r="O17" s="6" t="n">
        <f aca="false">S17*O28</f>
        <v>1519588220.57974</v>
      </c>
      <c r="P17" s="6" t="n">
        <f aca="false">S17*P28</f>
        <v>1319498963.19313</v>
      </c>
      <c r="Q17" s="6" t="n">
        <f aca="false">S17*Q28</f>
        <v>1736933021.45484</v>
      </c>
      <c r="R17" s="6" t="n">
        <f aca="false">O17/C17</f>
        <v>1039.12812584889</v>
      </c>
      <c r="S17" s="6" t="n">
        <f aca="false">C17/MAX(C28,C15+C16+C17+C18)</f>
        <v>0.402492742792437</v>
      </c>
      <c r="T17" s="6"/>
      <c r="U17" s="6"/>
    </row>
    <row r="18" customFormat="false" ht="14.25" hidden="false" customHeight="true" outlineLevel="0" collapsed="false">
      <c r="A18" s="6" t="s">
        <v>145</v>
      </c>
      <c r="B18" s="6" t="s">
        <v>130</v>
      </c>
      <c r="C18" s="6" t="n">
        <v>381571.426849207</v>
      </c>
      <c r="D18" s="6" t="n">
        <v>318523.244794465</v>
      </c>
      <c r="E18" s="6" t="n">
        <v>448041.493333895</v>
      </c>
      <c r="F18" s="6" t="n">
        <v>384942.735254754</v>
      </c>
      <c r="G18" s="6" t="n">
        <v>320933.748088968</v>
      </c>
      <c r="H18" s="6" t="n">
        <v>452265.421305868</v>
      </c>
      <c r="I18" s="6" t="n">
        <v>10642.7561279255</v>
      </c>
      <c r="J18" s="6" t="n">
        <v>5298.57284734819</v>
      </c>
      <c r="K18" s="6" t="n">
        <v>21899.0402628349</v>
      </c>
      <c r="L18" s="6" t="n">
        <v>10731.3301786367</v>
      </c>
      <c r="M18" s="6" t="n">
        <v>5383.30457727511</v>
      </c>
      <c r="N18" s="6" t="n">
        <v>22245.9095976731</v>
      </c>
      <c r="O18" s="6" t="n">
        <f aca="false">S18*O28</f>
        <v>396501601.659303</v>
      </c>
      <c r="P18" s="6" t="n">
        <f aca="false">S18*P28</f>
        <v>344292911.203446</v>
      </c>
      <c r="Q18" s="6" t="n">
        <f aca="false">S18*Q28</f>
        <v>453212729.379431</v>
      </c>
      <c r="R18" s="6" t="n">
        <f aca="false">O18/C18</f>
        <v>1039.12812584889</v>
      </c>
      <c r="S18" s="6" t="n">
        <f aca="false">C18/MAX(C28,C15+C16+C17+C18)</f>
        <v>0.105021225495261</v>
      </c>
      <c r="T18" s="6"/>
      <c r="U18" s="6"/>
    </row>
    <row r="19" s="5" customFormat="true" ht="14.25" hidden="false" customHeight="true" outlineLevel="0" collapsed="false">
      <c r="A19" s="12" t="s">
        <v>145</v>
      </c>
      <c r="B19" s="12" t="s">
        <v>110</v>
      </c>
      <c r="C19" s="12" t="n">
        <v>490862.651708985</v>
      </c>
      <c r="D19" s="12" t="n">
        <v>273572.732601691</v>
      </c>
      <c r="E19" s="12" t="n">
        <v>783784.109951279</v>
      </c>
      <c r="F19" s="12" t="n">
        <v>504109.038062018</v>
      </c>
      <c r="G19" s="12" t="n">
        <v>278427.692941808</v>
      </c>
      <c r="H19" s="12" t="n">
        <v>799920.177622703</v>
      </c>
      <c r="I19" s="12" t="n">
        <v>34635.1517579887</v>
      </c>
      <c r="J19" s="12" t="n">
        <v>17829.0411122821</v>
      </c>
      <c r="K19" s="12" t="n">
        <v>56109.1939421489</v>
      </c>
      <c r="L19" s="12" t="n">
        <v>35535.8478155504</v>
      </c>
      <c r="M19" s="12" t="n">
        <v>18736.0376245321</v>
      </c>
      <c r="N19" s="12" t="n">
        <v>57960.5408338708</v>
      </c>
      <c r="O19" s="12" t="n">
        <v>1400368501.36</v>
      </c>
      <c r="P19" s="12" t="n">
        <v>1257499064.13</v>
      </c>
      <c r="Q19" s="12" t="n">
        <v>1585961809.21</v>
      </c>
      <c r="R19" s="12"/>
      <c r="S19" s="12"/>
      <c r="T19" s="12"/>
      <c r="U19" s="12"/>
    </row>
    <row r="20" s="5" customFormat="true" ht="14.25" hidden="false" customHeight="true" outlineLevel="0" collapsed="false">
      <c r="A20" s="6" t="s">
        <v>145</v>
      </c>
      <c r="B20" s="6" t="s">
        <v>135</v>
      </c>
      <c r="C20" s="6" t="n">
        <v>157339.961966639</v>
      </c>
      <c r="D20" s="6" t="n">
        <v>135797.828082844</v>
      </c>
      <c r="E20" s="6" t="n">
        <v>177936.519423303</v>
      </c>
      <c r="F20" s="6" t="n">
        <v>164003.228256284</v>
      </c>
      <c r="G20" s="6" t="n">
        <v>140504.89555927</v>
      </c>
      <c r="H20" s="6" t="n">
        <v>188776.493693062</v>
      </c>
      <c r="I20" s="6" t="n">
        <v>19406.6496506687</v>
      </c>
      <c r="J20" s="6" t="n">
        <v>13720.8891761698</v>
      </c>
      <c r="K20" s="6" t="n">
        <v>25129.2495248338</v>
      </c>
      <c r="L20" s="6" t="n">
        <v>20200.6376317339</v>
      </c>
      <c r="M20" s="6" t="n">
        <v>14073.7130795413</v>
      </c>
      <c r="N20" s="6" t="n">
        <v>26092.2121215191</v>
      </c>
      <c r="O20" s="6" t="n">
        <v>1039867121.23</v>
      </c>
      <c r="P20" s="6" t="n">
        <v>918097453.25</v>
      </c>
      <c r="Q20" s="6" t="n">
        <v>1186493493.93</v>
      </c>
      <c r="R20" s="6" t="n">
        <f aca="false">O20/C20</f>
        <v>6609.04647638395</v>
      </c>
      <c r="S20" s="6"/>
      <c r="T20" s="6"/>
      <c r="U20" s="6"/>
    </row>
    <row r="21" s="5" customFormat="true" ht="14.25" hidden="false" customHeight="true" outlineLevel="0" collapsed="false">
      <c r="A21" s="6" t="s">
        <v>145</v>
      </c>
      <c r="B21" s="6" t="s">
        <v>5</v>
      </c>
      <c r="C21" s="6" t="n">
        <v>184153.82</v>
      </c>
      <c r="D21" s="6" t="n">
        <v>142738.48</v>
      </c>
      <c r="E21" s="6" t="n">
        <v>230786.79</v>
      </c>
      <c r="F21" s="6" t="n">
        <v>145159.78</v>
      </c>
      <c r="G21" s="6" t="n">
        <v>113470.82</v>
      </c>
      <c r="H21" s="6" t="n">
        <v>191874.51</v>
      </c>
      <c r="I21" s="6" t="n">
        <v>5053.84</v>
      </c>
      <c r="J21" s="6" t="n">
        <v>2456.37</v>
      </c>
      <c r="K21" s="6" t="n">
        <v>8856.1</v>
      </c>
      <c r="L21" s="6" t="n">
        <v>4195.89</v>
      </c>
      <c r="M21" s="6" t="n">
        <v>2098.88</v>
      </c>
      <c r="N21" s="6" t="n">
        <v>7455.14</v>
      </c>
      <c r="O21" s="6" t="n">
        <f aca="false">S21*O27</f>
        <v>336594178.685906</v>
      </c>
      <c r="P21" s="6" t="n">
        <f aca="false">S21*P27</f>
        <v>300213897.674125</v>
      </c>
      <c r="Q21" s="6" t="n">
        <f aca="false">S21*Q27</f>
        <v>381246428.829461</v>
      </c>
      <c r="R21" s="6" t="n">
        <f aca="false">O21/C21</f>
        <v>1827.78819731193</v>
      </c>
      <c r="S21" s="6" t="n">
        <f aca="false">C21/C27</f>
        <v>0.362684606869858</v>
      </c>
      <c r="T21" s="6"/>
      <c r="U21" s="6"/>
    </row>
    <row r="22" s="5" customFormat="true" ht="14.25" hidden="false" customHeight="true" outlineLevel="0" collapsed="false">
      <c r="A22" s="6" t="s">
        <v>145</v>
      </c>
      <c r="B22" s="6" t="s">
        <v>114</v>
      </c>
      <c r="C22" s="6" t="n">
        <v>52444.8651077051</v>
      </c>
      <c r="D22" s="6" t="n">
        <v>47172.1952371634</v>
      </c>
      <c r="E22" s="6" t="n">
        <v>59148.9918576273</v>
      </c>
      <c r="F22" s="6" t="n">
        <v>53991.9670241187</v>
      </c>
      <c r="G22" s="6" t="n">
        <v>48202.3149293329</v>
      </c>
      <c r="H22" s="6" t="n">
        <v>60627.3742308796</v>
      </c>
      <c r="I22" s="6" t="n">
        <v>5784.44522172226</v>
      </c>
      <c r="J22" s="6" t="n">
        <v>4030.80894180372</v>
      </c>
      <c r="K22" s="6" t="n">
        <v>7439.52617800235</v>
      </c>
      <c r="L22" s="6" t="n">
        <v>5935.55696450085</v>
      </c>
      <c r="M22" s="6" t="n">
        <v>4142.83989990906</v>
      </c>
      <c r="N22" s="6" t="n">
        <v>7773.38467338719</v>
      </c>
      <c r="O22" s="6" t="n">
        <v>353864722.6</v>
      </c>
      <c r="P22" s="6" t="n">
        <v>302380044.21</v>
      </c>
      <c r="Q22" s="6" t="n">
        <v>410961273.4</v>
      </c>
      <c r="R22" s="6" t="n">
        <f aca="false">O22/C22</f>
        <v>6747.36643660488</v>
      </c>
      <c r="S22" s="6"/>
      <c r="T22" s="6"/>
      <c r="U22" s="6"/>
    </row>
    <row r="23" s="5" customFormat="true" ht="14.25" hidden="false" customHeight="true" outlineLevel="0" collapsed="false">
      <c r="A23" s="6" t="s">
        <v>145</v>
      </c>
      <c r="B23" s="6" t="s">
        <v>106</v>
      </c>
      <c r="C23" s="6" t="n">
        <v>7917.19</v>
      </c>
      <c r="D23" s="6" t="n">
        <v>5886.04</v>
      </c>
      <c r="E23" s="6" t="n">
        <v>9701.14</v>
      </c>
      <c r="F23" s="6" t="n">
        <v>8127.04</v>
      </c>
      <c r="G23" s="6" t="n">
        <v>5890.31</v>
      </c>
      <c r="H23" s="6" t="n">
        <v>9908.73</v>
      </c>
      <c r="I23" s="6" t="n">
        <v>921.02</v>
      </c>
      <c r="J23" s="6" t="n">
        <v>585.94</v>
      </c>
      <c r="K23" s="6" t="n">
        <v>1235.24</v>
      </c>
      <c r="L23" s="6" t="n">
        <v>943.87</v>
      </c>
      <c r="M23" s="6" t="n">
        <v>589.84</v>
      </c>
      <c r="N23" s="6" t="n">
        <v>1256.88</v>
      </c>
      <c r="O23" s="6" t="n">
        <v>35609334.72</v>
      </c>
      <c r="P23" s="6" t="n">
        <v>29106301.42</v>
      </c>
      <c r="Q23" s="6" t="n">
        <v>42457613.4</v>
      </c>
      <c r="R23" s="6" t="n">
        <f aca="false">O23/C23</f>
        <v>4497.72390456715</v>
      </c>
      <c r="S23" s="6"/>
      <c r="T23" s="6"/>
      <c r="U23" s="6"/>
    </row>
    <row r="24" customFormat="false" ht="14.25" hidden="false" customHeight="true" outlineLevel="0" collapsed="false">
      <c r="A24" s="6" t="s">
        <v>145</v>
      </c>
      <c r="B24" s="6" t="s">
        <v>41</v>
      </c>
      <c r="C24" s="6" t="n">
        <v>709148.431322818</v>
      </c>
      <c r="D24" s="6" t="n">
        <v>628647.976855587</v>
      </c>
      <c r="E24" s="6" t="n">
        <v>775085.584372685</v>
      </c>
      <c r="F24" s="6" t="n">
        <v>725147.994758006</v>
      </c>
      <c r="G24" s="6" t="n">
        <v>633574.449550722</v>
      </c>
      <c r="H24" s="6" t="n">
        <v>808755.872794038</v>
      </c>
      <c r="I24" s="6" t="n">
        <v>123929.089721184</v>
      </c>
      <c r="J24" s="6" t="n">
        <v>90301.8702194271</v>
      </c>
      <c r="K24" s="6" t="n">
        <v>157200.869464399</v>
      </c>
      <c r="L24" s="6" t="n">
        <v>126326.544370679</v>
      </c>
      <c r="M24" s="6" t="n">
        <v>91833.0355074951</v>
      </c>
      <c r="N24" s="6" t="n">
        <v>161834.067084638</v>
      </c>
      <c r="O24" s="6" t="n">
        <v>5512901669.81</v>
      </c>
      <c r="P24" s="6" t="n">
        <v>4992133524.79</v>
      </c>
      <c r="Q24" s="6" t="n">
        <v>6120911722.84</v>
      </c>
      <c r="R24" s="6" t="n">
        <f aca="false">O24/C24</f>
        <v>7773.9742856463</v>
      </c>
      <c r="S24" s="6"/>
      <c r="T24" s="6"/>
      <c r="U24" s="6"/>
    </row>
    <row r="25" s="5" customFormat="true" ht="14.25" hidden="false" customHeight="true" outlineLevel="0" collapsed="false"/>
    <row r="26" s="5" customFormat="true" ht="14.25" hidden="false" customHeight="true" outlineLevel="0" collapsed="false">
      <c r="A26" s="6"/>
      <c r="B26" s="6" t="s">
        <v>109</v>
      </c>
      <c r="C26" s="6" t="n">
        <v>6082764.39469526</v>
      </c>
      <c r="D26" s="6" t="n">
        <v>6063943.08303549</v>
      </c>
      <c r="E26" s="6" t="n">
        <v>6088810.42748424</v>
      </c>
      <c r="F26" s="6" t="n">
        <v>6151246.89197362</v>
      </c>
      <c r="G26" s="6" t="n">
        <v>6123778.9065045</v>
      </c>
      <c r="H26" s="6" t="n">
        <v>6162688.85525019</v>
      </c>
      <c r="I26" s="6" t="n">
        <v>497036.587035374</v>
      </c>
      <c r="J26" s="6" t="n">
        <v>357499.485224694</v>
      </c>
      <c r="K26" s="6" t="n">
        <v>679922.403341258</v>
      </c>
      <c r="L26" s="6" t="n">
        <v>495070.993466557</v>
      </c>
      <c r="M26" s="6" t="n">
        <v>357958.071363659</v>
      </c>
      <c r="N26" s="6" t="n">
        <v>673938.321494105</v>
      </c>
      <c r="O26" s="6" t="n">
        <f aca="false">O6+O8</f>
        <v>10546722641.21</v>
      </c>
      <c r="P26" s="6" t="n">
        <f aca="false">P6+P8</f>
        <v>9553387477.2</v>
      </c>
      <c r="Q26" s="6" t="n">
        <f aca="false">Q6+Q8</f>
        <v>11769489245.25</v>
      </c>
      <c r="R26" s="6" t="n">
        <f aca="false">O26/C26</f>
        <v>1733.86999016561</v>
      </c>
      <c r="S26" s="6"/>
      <c r="T26" s="6"/>
      <c r="U26" s="6"/>
    </row>
    <row r="27" s="5" customFormat="true" ht="14.25" hidden="false" customHeight="true" outlineLevel="0" collapsed="false">
      <c r="A27" s="6"/>
      <c r="B27" s="6" t="s">
        <v>108</v>
      </c>
      <c r="C27" s="6" t="n">
        <v>507751.96</v>
      </c>
      <c r="D27" s="6" t="n">
        <v>394475.09</v>
      </c>
      <c r="E27" s="6" t="n">
        <v>638114.23</v>
      </c>
      <c r="F27" s="6" t="n">
        <v>465034.77</v>
      </c>
      <c r="G27" s="6" t="n">
        <v>352091.09</v>
      </c>
      <c r="H27" s="6" t="n">
        <v>617386.08</v>
      </c>
      <c r="I27" s="6" t="n">
        <v>9335.74</v>
      </c>
      <c r="J27" s="6" t="n">
        <v>4875.35</v>
      </c>
      <c r="K27" s="6" t="n">
        <v>15063.11</v>
      </c>
      <c r="L27" s="6" t="n">
        <v>8299.02</v>
      </c>
      <c r="M27" s="6" t="n">
        <v>4433.15</v>
      </c>
      <c r="N27" s="6" t="n">
        <v>13532.13</v>
      </c>
      <c r="O27" s="6" t="n">
        <v>928063039.65</v>
      </c>
      <c r="P27" s="6" t="n">
        <v>827754726.8</v>
      </c>
      <c r="Q27" s="6" t="n">
        <v>1051178962.68</v>
      </c>
      <c r="R27" s="6" t="n">
        <f aca="false">O27/C27</f>
        <v>1827.78819731193</v>
      </c>
      <c r="S27" s="6"/>
      <c r="T27" s="6"/>
      <c r="U27" s="6"/>
    </row>
    <row r="28" customFormat="false" ht="14.25" hidden="false" customHeight="true" outlineLevel="0" collapsed="false">
      <c r="A28" s="6"/>
      <c r="B28" s="6" t="s">
        <v>131</v>
      </c>
      <c r="C28" s="6" t="n">
        <v>2959592.20491997</v>
      </c>
      <c r="D28" s="6" t="n">
        <v>2686204.55738744</v>
      </c>
      <c r="E28" s="6" t="n">
        <v>3216167.30613439</v>
      </c>
      <c r="F28" s="6" t="n">
        <v>2956532.8852162</v>
      </c>
      <c r="G28" s="6" t="n">
        <v>2682169.20891909</v>
      </c>
      <c r="H28" s="6" t="n">
        <v>3215518.78527522</v>
      </c>
      <c r="I28" s="6" t="n">
        <v>102023.89490713</v>
      </c>
      <c r="J28" s="6" t="n">
        <v>51772.4499060812</v>
      </c>
      <c r="K28" s="6" t="n">
        <v>212356.95296909</v>
      </c>
      <c r="L28" s="6" t="n">
        <v>101425.645035027</v>
      </c>
      <c r="M28" s="6" t="n">
        <v>51404.2707124262</v>
      </c>
      <c r="N28" s="6" t="n">
        <v>212329.196801507</v>
      </c>
      <c r="O28" s="6" t="n">
        <v>3775442533.54</v>
      </c>
      <c r="P28" s="6" t="n">
        <v>3278317402.79</v>
      </c>
      <c r="Q28" s="6" t="n">
        <v>4315439352.78</v>
      </c>
      <c r="R28" s="6" t="n">
        <f aca="false">O28/C28</f>
        <v>1275.66308874033</v>
      </c>
      <c r="S28" s="6"/>
      <c r="T28" s="6"/>
      <c r="U28" s="6"/>
    </row>
    <row r="31" customFormat="false" ht="14.25" hidden="false" customHeight="true" outlineLevel="0" collapsed="false">
      <c r="C31" s="1" t="s">
        <v>125</v>
      </c>
      <c r="O31" s="1" t="n">
        <f aca="false">C6/C26</f>
        <v>1.49868119648065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2026-02-02T18:05:34Z</dcterms:created>
  <dc:creator>Ghazal M</dc:creator>
  <dc:description/>
  <dc:language>en-US</dc:language>
  <cp:lastModifiedBy>Ghazal  Mashhadiagha</cp:lastModifiedBy>
  <dcterms:modified xsi:type="dcterms:W3CDTF">2026-10-05T18:54:17Z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